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8_{F167B4D6-D552-2446-8087-77CF7B4C430B}" xr6:coauthVersionLast="47" xr6:coauthVersionMax="47" xr10:uidLastSave="{00000000-0000-0000-0000-000000000000}"/>
  <bookViews>
    <workbookView xWindow="0" yWindow="0" windowWidth="16384" windowHeight="8192" tabRatio="500" activeTab="4" xr2:uid="{00000000-000D-0000-FFFF-FFFF00000000}"/>
  </bookViews>
  <sheets>
    <sheet name="LISEZ-MOI" sheetId="1" r:id="rId1"/>
    <sheet name="TA-OFFENSE" sheetId="2" r:id="rId2"/>
    <sheet name="TA-DEFENSE" sheetId="3" r:id="rId3"/>
    <sheet name="TA-SPECIAL" sheetId="4" r:id="rId4"/>
    <sheet name="FOYER-ZERO" sheetId="5" r:id="rId5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3" i="5" l="1"/>
  <c r="H26" i="5"/>
  <c r="H27" i="5"/>
  <c r="H28" i="5"/>
  <c r="H30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21" i="5"/>
  <c r="G19" i="5"/>
  <c r="H7" i="5"/>
  <c r="H8" i="5"/>
  <c r="H9" i="5"/>
  <c r="H10" i="5"/>
  <c r="H6" i="5"/>
  <c r="E14" i="5"/>
  <c r="E15" i="5"/>
  <c r="E16" i="5"/>
  <c r="E17" i="5"/>
  <c r="E18" i="5"/>
  <c r="E19" i="5"/>
  <c r="E13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21" i="5"/>
  <c r="D31" i="5"/>
  <c r="D32" i="5"/>
  <c r="D33" i="5"/>
  <c r="D34" i="5"/>
  <c r="D35" i="5"/>
  <c r="D22" i="5"/>
  <c r="D23" i="5"/>
  <c r="D24" i="5"/>
  <c r="D25" i="5"/>
  <c r="D26" i="5"/>
  <c r="D27" i="5"/>
  <c r="D28" i="5"/>
  <c r="D29" i="5"/>
  <c r="D30" i="5"/>
  <c r="D21" i="5"/>
  <c r="D6" i="5"/>
  <c r="D7" i="5"/>
  <c r="D8" i="5"/>
  <c r="D9" i="5"/>
  <c r="D10" i="5"/>
  <c r="D11" i="5"/>
  <c r="D12" i="5"/>
  <c r="D13" i="5"/>
  <c r="D14" i="5"/>
  <c r="D15" i="5"/>
  <c r="D16" i="5"/>
  <c r="D17" i="5"/>
  <c r="D19" i="5"/>
  <c r="D18" i="5"/>
  <c r="G7" i="5"/>
  <c r="G8" i="5"/>
  <c r="G9" i="5"/>
  <c r="G10" i="5"/>
  <c r="G11" i="5"/>
  <c r="G12" i="5"/>
  <c r="G13" i="5"/>
  <c r="G14" i="5"/>
  <c r="G15" i="5"/>
  <c r="G16" i="5"/>
  <c r="G17" i="5"/>
  <c r="G18" i="5"/>
  <c r="G6" i="5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5" i="3"/>
  <c r="H10" i="2"/>
  <c r="H11" i="2"/>
  <c r="H12" i="2"/>
  <c r="H13" i="2"/>
  <c r="H14" i="2"/>
  <c r="H15" i="2"/>
  <c r="H16" i="2"/>
  <c r="H17" i="2"/>
  <c r="H18" i="2"/>
  <c r="H9" i="2"/>
  <c r="E9" i="4"/>
  <c r="E8" i="4"/>
  <c r="E7" i="4"/>
  <c r="E6" i="4"/>
  <c r="E5" i="4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</calcChain>
</file>

<file path=xl/sharedStrings.xml><?xml version="1.0" encoding="utf-8"?>
<sst xmlns="http://schemas.openxmlformats.org/spreadsheetml/2006/main" count="314" uniqueCount="191">
  <si>
    <t>Arbre de recherche — relevé TA et transposition Foyer Zéro</t>
  </si>
  <si>
    <t>Source</t>
  </si>
  <si>
    <t>Seize captures de l'écran RECHERCHE de Tiberium Alliances, onglets OFFENSE, DÉFENSE et SPÉCIAL,</t>
  </si>
  <si>
    <t>relevées le 23/08/2026. Chaque carte donne un coût en crédits et un coût en points de recherche.</t>
  </si>
  <si>
    <t>Lecture des cellules</t>
  </si>
  <si>
    <t>NOIR        : valeur lue sur une capture.</t>
  </si>
  <si>
    <t>ROUGE ITALIQUE sur fond rose : valeur ESTIMÉE. La recherche était déjà acquise ou hors capture,</t>
  </si>
  <si>
    <t xml:space="preserve">              le coût n'était donc pas affiché. À corriger.</t>
  </si>
  <si>
    <t>JAUNE       : à remplir ou à trancher.</t>
  </si>
  <si>
    <t>Le rapport crédits / points de recherche</t>
  </si>
  <si>
    <t>Constant sur les 27 recherches lisibles : les points de recherche coûtent 2,0 à 2,6 fois les</t>
  </si>
  <si>
    <t>crédits, moyenne 2,4. La seule exception est le VCM, à 0,78 — c'est la recherche qui donne une</t>
  </si>
  <si>
    <t>base supplémentaire, elle ne suit pas le barème des unités.</t>
  </si>
  <si>
    <t>Foyer Zéro n'ayant pas de crédits, seule la colonne « points de recherche » est transposée.</t>
  </si>
  <si>
    <t>Le pas de l'arbre</t>
  </si>
  <si>
    <t>Chaque échelon coûte environ le DOUBLE du précédent. Sur l'offense : 200k → 270k → 500k → 1,5M</t>
  </si>
  <si>
    <t>→ 5,8M → 9,85M → 19,6M → 42,5M → 100M → 120M. Sur la défense, treize échelons de 135k à 300M,</t>
  </si>
  <si>
    <t>soit un rapport de 2 200 entre le premier et le dernier.</t>
  </si>
  <si>
    <t>Ce que ça résout</t>
  </si>
  <si>
    <t>Le revenu en points de recherche DOUBLE par niveau de défense détruite. J'avais signalé que cela</t>
  </si>
  <si>
    <t>divergeait du ×1,32 de tout le reste. Les captures lèvent l'alerte : le COÛT de l'arbre double</t>
  </si>
  <si>
    <t>lui aussi à chaque échelon. Les deux courbes sont en phase, le ×2 est cohérent avec lui-même.</t>
  </si>
  <si>
    <t>Il reste à caler la cadence — combien de niveaux de progression pour un échelon d'arbre.</t>
  </si>
  <si>
    <t>Les modules</t>
  </si>
  <si>
    <t>Ce sont des améliorations PERMANENTES, appliquées à toutes les unités du type concerné.</t>
  </si>
  <si>
    <t>Ils coûtent beaucoup plus cher que l'unité : le Fusilier est gratuit, son module vaut 10M.</t>
  </si>
  <si>
    <t>Quatre coûts seulement sont lisibles ; les autres n'apparaissent qu'une fois l'unité acquise.</t>
  </si>
  <si>
    <t>Feuilles</t>
  </si>
  <si>
    <t>TA-OFFENSE · TA-DEFENSE · TA-SPECIAL : le relevé fidèle, avec les deux monnaies.</t>
  </si>
  <si>
    <t>FOYER-ZERO : la transposition, avec nos noms et les points de recherche seuls.</t>
  </si>
  <si>
    <t>TA — onglet OFFENSE</t>
  </si>
  <si>
    <t>Ordre d'affichage dans le jeu, trois cartes par rangée. Les quatre premières étaient déjà acquises : coûts estimés.</t>
  </si>
  <si>
    <t>#</t>
  </si>
  <si>
    <t>Unité</t>
  </si>
  <si>
    <t>Description</t>
  </si>
  <si>
    <t>Crédits</t>
  </si>
  <si>
    <t>Points de
recherche</t>
  </si>
  <si>
    <t>Ratio</t>
  </si>
  <si>
    <t>Module</t>
  </si>
  <si>
    <t>Crédits
module</t>
  </si>
  <si>
    <t>Points rech.
module</t>
  </si>
  <si>
    <t>Rifleman Squad</t>
  </si>
  <si>
    <t>escouade de base, contre l'infanterie</t>
  </si>
  <si>
    <t>Smoke Grenade</t>
  </si>
  <si>
    <t>Guardian</t>
  </si>
  <si>
    <t>véhicule anti-infanterie rapide, courte portée</t>
  </si>
  <si>
    <t>Transport</t>
  </si>
  <si>
    <t>Paladin</t>
  </si>
  <si>
    <t>chasseur de véhicules volant</t>
  </si>
  <si>
    <t>Pitbull</t>
  </si>
  <si>
    <t>buggy rapide, fort impact sur les structures</t>
  </si>
  <si>
    <t>Flashbang</t>
  </si>
  <si>
    <t>Missile Squad</t>
  </si>
  <si>
    <t>envoyée contre les structures</t>
  </si>
  <si>
    <t>Missile Storm</t>
  </si>
  <si>
    <t>Predator</t>
  </si>
  <si>
    <t>char léger, contre les véhicules</t>
  </si>
  <si>
    <t>HEAT-MP-T</t>
  </si>
  <si>
    <t>Firehawk</t>
  </si>
  <si>
    <t>frappe aérienne rapide contre les structures</t>
  </si>
  <si>
    <t>Nano Tech</t>
  </si>
  <si>
    <t>Zone Troopers</t>
  </si>
  <si>
    <t>envoyés contre les véhicules ennemis</t>
  </si>
  <si>
    <t>Charge</t>
  </si>
  <si>
    <t>Commando</t>
  </si>
  <si>
    <t>infanterie endurante spécialisée structures</t>
  </si>
  <si>
    <t>Orca</t>
  </si>
  <si>
    <t>tueur d'infanterie volant</t>
  </si>
  <si>
    <t>EMP</t>
  </si>
  <si>
    <t>Juggernaut</t>
  </si>
  <si>
    <t>briseur de structures lent</t>
  </si>
  <si>
    <t>Barrage</t>
  </si>
  <si>
    <t>Sniper Team</t>
  </si>
  <si>
    <t>faible, mais surclasse l'infanterie en portée</t>
  </si>
  <si>
    <t>Laser Scope</t>
  </si>
  <si>
    <t>Mammoth</t>
  </si>
  <si>
    <t>char lourd, gros dégâts, contre les véhicules</t>
  </si>
  <si>
    <t>Battering Ram</t>
  </si>
  <si>
    <t>Kodiak</t>
  </si>
  <si>
    <t>briseur de structures</t>
  </si>
  <si>
    <t>Aegis Aura</t>
  </si>
  <si>
    <t>TA — onglet DÉFENSE</t>
  </si>
  <si>
    <t>Mur et nid de mitrailleuse n'apparaissent pas dans l'arbre : ils sont disponibles d'emblée.</t>
  </si>
  <si>
    <t>Défense</t>
  </si>
  <si>
    <t>Wall</t>
  </si>
  <si>
    <t>bloque, ne tire pas</t>
  </si>
  <si>
    <t>gratuit</t>
  </si>
  <si>
    <t>—</t>
  </si>
  <si>
    <t>MG Nest</t>
  </si>
  <si>
    <t>anti-infanterie de base, touche aussi le ciel</t>
  </si>
  <si>
    <t>chasseur de véhicules mobile</t>
  </si>
  <si>
    <t>infanterie anti-aérienne mobile</t>
  </si>
  <si>
    <t>Anti-Tank Barrier</t>
  </si>
  <si>
    <t>structure anti-véhicule, blesse au passage</t>
  </si>
  <si>
    <t>Repair Drones</t>
  </si>
  <si>
    <t>véhicule anti-infanterie rapide</t>
  </si>
  <si>
    <t>Guardian Cannon</t>
  </si>
  <si>
    <t>tourelle lourde spécialisée véhicules</t>
  </si>
  <si>
    <t>Garrison</t>
  </si>
  <si>
    <t>véhicule anti-aérien rapide</t>
  </si>
  <si>
    <t>Barbwire</t>
  </si>
  <si>
    <t>structure anti-infanterie, blesse infanterie et véhicules</t>
  </si>
  <si>
    <t>escouade anti-infanterie longue portée</t>
  </si>
  <si>
    <t>Flak</t>
  </si>
  <si>
    <t>tourelle lourde spécialisée aviation</t>
  </si>
  <si>
    <t>Guided Missiles</t>
  </si>
  <si>
    <t>Zone Trooper</t>
  </si>
  <si>
    <t>infanterie anti-véhicule mobile</t>
  </si>
  <si>
    <t>Watchtower</t>
  </si>
  <si>
    <t>artillerie anti-infanterie, portée minimale</t>
  </si>
  <si>
    <t>SR Arms</t>
  </si>
  <si>
    <t>Titan Artillery</t>
  </si>
  <si>
    <t>artillerie anti-véhicule, portée minimale</t>
  </si>
  <si>
    <t>SAM Site</t>
  </si>
  <si>
    <t>artillerie anti-aérienne, portée minimale</t>
  </si>
  <si>
    <t>TA — onglet SPÉCIAL</t>
  </si>
  <si>
    <t>Un seul soutien par base. Le VCM ouvre une base supplémentaire ; le second, à 1,2 trillion, correspond à la treizième.</t>
  </si>
  <si>
    <t>Recherche</t>
  </si>
  <si>
    <t>Rayon</t>
  </si>
  <si>
    <t>Ion Cannon Support</t>
  </si>
  <si>
    <t>soutien anti-véhicule, défend les bases alliées en alerte</t>
  </si>
  <si>
    <t>Falcon Support</t>
  </si>
  <si>
    <t>soutien anti-aérien, défend les bases alliées en alerte</t>
  </si>
  <si>
    <t>Skystrike Support</t>
  </si>
  <si>
    <t>soutien anti-infanterie — hors capture, estimé</t>
  </si>
  <si>
    <t>VCM (2e base)</t>
  </si>
  <si>
    <t>permet de fonder une seconde base</t>
  </si>
  <si>
    <t>VCM (13e base)</t>
  </si>
  <si>
    <t>base supplémentaire de fin de partie</t>
  </si>
  <si>
    <t>Foyer Zéro — arbre de recherche transposé</t>
  </si>
  <si>
    <t>Points de recherche seuls : les crédits n'existent pas. Les coûts reprennent la colonne « points de recherche » de TA. La colonne « à retenir » est libre — c'est là que tu corriges.</t>
  </si>
  <si>
    <t>Branche</t>
  </si>
  <si>
    <t>Nom Foyer Zéro</t>
  </si>
  <si>
    <t>Équivalent TA</t>
  </si>
  <si>
    <t>Coût TA
(pts recherche)</t>
  </si>
  <si>
    <t>À retenir</t>
  </si>
  <si>
    <t>Coût module
TA</t>
  </si>
  <si>
    <t>Offense</t>
  </si>
  <si>
    <t>Fusiliers</t>
  </si>
  <si>
    <t>Fumigène</t>
  </si>
  <si>
    <t>Éclaireur</t>
  </si>
  <si>
    <t>Garnison</t>
  </si>
  <si>
    <t>Épervier</t>
  </si>
  <si>
    <t>Pionnier</t>
  </si>
  <si>
    <t>Grenadiers</t>
  </si>
  <si>
    <t>Tir de barrage</t>
  </si>
  <si>
    <t>Chasseur</t>
  </si>
  <si>
    <t>Munition spéciale</t>
  </si>
  <si>
    <t>Foudre</t>
  </si>
  <si>
    <t>Camouflage</t>
  </si>
  <si>
    <t>Cuirassiers</t>
  </si>
  <si>
    <t>Booster</t>
  </si>
  <si>
    <t>Sapeurs</t>
  </si>
  <si>
    <t>Milan</t>
  </si>
  <si>
    <t>Obusier</t>
  </si>
  <si>
    <t>Voltigeurs</t>
  </si>
  <si>
    <t>Percheron</t>
  </si>
  <si>
    <t>Écraseur</t>
  </si>
  <si>
    <t>Albatros</t>
  </si>
  <si>
    <t>Bouclier</t>
  </si>
  <si>
    <t>Merlon</t>
  </si>
  <si>
    <t>Auto-réparation</t>
  </si>
  <si>
    <t>Casemate</t>
  </si>
  <si>
    <t>Chasseur (déf)</t>
  </si>
  <si>
    <t>Grenadiers (déf)</t>
  </si>
  <si>
    <t>Herse</t>
  </si>
  <si>
    <t>Éclaireur (déf)</t>
  </si>
  <si>
    <t>Créneau</t>
  </si>
  <si>
    <t>Pionnier (déf)</t>
  </si>
  <si>
    <t>Ronce</t>
  </si>
  <si>
    <t>Voltigeurs (déf)</t>
  </si>
  <si>
    <t>Batterie</t>
  </si>
  <si>
    <t>Cuirassiers (déf)</t>
  </si>
  <si>
    <t>Faucheuse</t>
  </si>
  <si>
    <t>Rayon mini −1</t>
  </si>
  <si>
    <t>Mortier</t>
  </si>
  <si>
    <t>Harpon</t>
  </si>
  <si>
    <t>Spécial</t>
  </si>
  <si>
    <t>Soutien anti-véh.</t>
  </si>
  <si>
    <t>Soutien anti-aérien</t>
  </si>
  <si>
    <t>Soutien anti-inf.</t>
  </si>
  <si>
    <t>Deuxième base</t>
  </si>
  <si>
    <t>VCM</t>
  </si>
  <si>
    <t xml:space="preserve">lisez moi pour claude de la part d'Ethan </t>
  </si>
  <si>
    <t>j'ai trouvé une vidéo YouTube d'il y a 10 ans qui explique des trucs bref j'ai trouvé des valeurs pour les recherches modules</t>
  </si>
  <si>
    <t xml:space="preserve">pour le moment on ignore les bâtiments et mécanique de soutien </t>
  </si>
  <si>
    <t xml:space="preserve">le suivant </t>
  </si>
  <si>
    <t>x2,5</t>
  </si>
  <si>
    <t>apparition vers niv 25</t>
  </si>
  <si>
    <t>apparition vers niv 30</t>
  </si>
  <si>
    <t>apparition vers niv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</si>
</sst>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-* #,##0_-;\-* #,##0_-;_-* &quot;-&quot;??_-;_-@_-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i/>
      <sz val="10"/>
      <color rgb="FFC00000"/>
      <name val="Arial"/>
      <charset val="1"/>
    </font>
    <font>
      <sz val="10"/>
      <color rgb="FF000000"/>
      <name val="Arial"/>
      <charset val="1"/>
    </font>
    <font>
      <sz val="10"/>
      <color theme="1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FCE4E4"/>
      </patternFill>
    </fill>
    <fill>
      <patternFill patternType="solid">
        <fgColor rgb="FF404040"/>
        <bgColor rgb="FF333300"/>
      </patternFill>
    </fill>
    <fill>
      <patternFill patternType="solid">
        <fgColor rgb="FFFCE4E4"/>
        <bgColor rgb="FFD9D9D9"/>
      </patternFill>
    </fill>
    <fill>
      <patternFill patternType="solid">
        <fgColor rgb="FFFFFF99"/>
        <bgColor rgb="FFFCE4E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3" fontId="6" fillId="4" borderId="1" xfId="0" applyNumberFormat="1" applyFont="1" applyFill="1" applyBorder="1" applyAlignment="1">
      <alignment vertical="top" wrapText="1"/>
    </xf>
    <xf numFmtId="2" fontId="7" fillId="0" borderId="1" xfId="0" applyNumberFormat="1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3" fillId="2" borderId="1" xfId="0" applyFont="1" applyFill="1" applyBorder="1"/>
    <xf numFmtId="0" fontId="0" fillId="2" borderId="1" xfId="0" applyFill="1" applyBorder="1"/>
    <xf numFmtId="0" fontId="0" fillId="5" borderId="1" xfId="0" applyFill="1" applyBorder="1" applyAlignment="1">
      <alignment vertical="top" wrapText="1"/>
    </xf>
    <xf numFmtId="0" fontId="0" fillId="6" borderId="0" xfId="0" applyFill="1"/>
    <xf numFmtId="3" fontId="8" fillId="7" borderId="1" xfId="0" applyNumberFormat="1" applyFont="1" applyFill="1" applyBorder="1" applyAlignment="1">
      <alignment vertical="top" wrapText="1"/>
    </xf>
    <xf numFmtId="0" fontId="8" fillId="7" borderId="1" xfId="0" applyFont="1" applyFill="1" applyBorder="1" applyAlignment="1">
      <alignment vertical="top" wrapText="1"/>
    </xf>
    <xf numFmtId="3" fontId="0" fillId="5" borderId="1" xfId="0" applyNumberFormat="1" applyFill="1" applyBorder="1" applyAlignment="1">
      <alignment vertical="top" wrapText="1"/>
    </xf>
    <xf numFmtId="165" fontId="0" fillId="5" borderId="1" xfId="0" applyNumberForma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43"/>
  <sheetViews>
    <sheetView topLeftCell="B27" zoomScaleNormal="100" workbookViewId="0">
      <selection activeCell="B43" sqref="B43"/>
    </sheetView>
  </sheetViews>
  <sheetFormatPr defaultColWidth="8.7421875" defaultRowHeight="15" x14ac:dyDescent="0.2"/>
  <cols>
    <col min="1" max="1" width="2.95703125" customWidth="1"/>
    <col min="2" max="2" width="99.94921875" customWidth="1"/>
  </cols>
  <sheetData>
    <row r="2" spans="2:2" ht="18" x14ac:dyDescent="0.2">
      <c r="B2" s="1" t="s">
        <v>0</v>
      </c>
    </row>
    <row r="4" spans="2:2" x14ac:dyDescent="0.2">
      <c r="B4" s="2"/>
    </row>
    <row r="5" spans="2:2" x14ac:dyDescent="0.2">
      <c r="B5" s="3" t="s">
        <v>1</v>
      </c>
    </row>
    <row r="6" spans="2:2" x14ac:dyDescent="0.2">
      <c r="B6" s="2" t="s">
        <v>2</v>
      </c>
    </row>
    <row r="7" spans="2:2" x14ac:dyDescent="0.2">
      <c r="B7" s="2" t="s">
        <v>3</v>
      </c>
    </row>
    <row r="8" spans="2:2" x14ac:dyDescent="0.2">
      <c r="B8" s="2"/>
    </row>
    <row r="9" spans="2:2" x14ac:dyDescent="0.2">
      <c r="B9" s="3" t="s">
        <v>4</v>
      </c>
    </row>
    <row r="10" spans="2:2" x14ac:dyDescent="0.2">
      <c r="B10" s="2" t="s">
        <v>5</v>
      </c>
    </row>
    <row r="11" spans="2:2" x14ac:dyDescent="0.2">
      <c r="B11" s="2" t="s">
        <v>6</v>
      </c>
    </row>
    <row r="12" spans="2:2" x14ac:dyDescent="0.2">
      <c r="B12" s="2" t="s">
        <v>7</v>
      </c>
    </row>
    <row r="13" spans="2:2" x14ac:dyDescent="0.2">
      <c r="B13" s="2" t="s">
        <v>8</v>
      </c>
    </row>
    <row r="14" spans="2:2" x14ac:dyDescent="0.2">
      <c r="B14" s="2"/>
    </row>
    <row r="15" spans="2:2" x14ac:dyDescent="0.2">
      <c r="B15" s="3" t="s">
        <v>9</v>
      </c>
    </row>
    <row r="16" spans="2:2" x14ac:dyDescent="0.2">
      <c r="B16" s="2" t="s">
        <v>10</v>
      </c>
    </row>
    <row r="17" spans="2:2" x14ac:dyDescent="0.2">
      <c r="B17" s="2" t="s">
        <v>11</v>
      </c>
    </row>
    <row r="18" spans="2:2" x14ac:dyDescent="0.2">
      <c r="B18" s="2" t="s">
        <v>12</v>
      </c>
    </row>
    <row r="19" spans="2:2" x14ac:dyDescent="0.2">
      <c r="B19" s="2" t="s">
        <v>13</v>
      </c>
    </row>
    <row r="20" spans="2:2" x14ac:dyDescent="0.2">
      <c r="B20" s="2"/>
    </row>
    <row r="21" spans="2:2" x14ac:dyDescent="0.2">
      <c r="B21" s="3" t="s">
        <v>14</v>
      </c>
    </row>
    <row r="22" spans="2:2" x14ac:dyDescent="0.2">
      <c r="B22" s="2" t="s">
        <v>15</v>
      </c>
    </row>
    <row r="23" spans="2:2" x14ac:dyDescent="0.2">
      <c r="B23" s="2" t="s">
        <v>16</v>
      </c>
    </row>
    <row r="24" spans="2:2" x14ac:dyDescent="0.2">
      <c r="B24" s="2" t="s">
        <v>17</v>
      </c>
    </row>
    <row r="25" spans="2:2" x14ac:dyDescent="0.2">
      <c r="B25" s="2"/>
    </row>
    <row r="26" spans="2:2" x14ac:dyDescent="0.2">
      <c r="B26" s="3" t="s">
        <v>18</v>
      </c>
    </row>
    <row r="27" spans="2:2" x14ac:dyDescent="0.2">
      <c r="B27" s="2" t="s">
        <v>19</v>
      </c>
    </row>
    <row r="28" spans="2:2" x14ac:dyDescent="0.2">
      <c r="B28" s="2" t="s">
        <v>20</v>
      </c>
    </row>
    <row r="29" spans="2:2" x14ac:dyDescent="0.2">
      <c r="B29" s="2" t="s">
        <v>21</v>
      </c>
    </row>
    <row r="30" spans="2:2" x14ac:dyDescent="0.2">
      <c r="B30" s="2" t="s">
        <v>22</v>
      </c>
    </row>
    <row r="31" spans="2:2" x14ac:dyDescent="0.2">
      <c r="B31" s="2"/>
    </row>
    <row r="32" spans="2:2" x14ac:dyDescent="0.2">
      <c r="B32" s="3" t="s">
        <v>23</v>
      </c>
    </row>
    <row r="33" spans="2:2" x14ac:dyDescent="0.2">
      <c r="B33" s="2" t="s">
        <v>24</v>
      </c>
    </row>
    <row r="34" spans="2:2" x14ac:dyDescent="0.2">
      <c r="B34" s="2" t="s">
        <v>25</v>
      </c>
    </row>
    <row r="35" spans="2:2" x14ac:dyDescent="0.2">
      <c r="B35" s="2" t="s">
        <v>26</v>
      </c>
    </row>
    <row r="36" spans="2:2" x14ac:dyDescent="0.2">
      <c r="B36" s="2"/>
    </row>
    <row r="37" spans="2:2" x14ac:dyDescent="0.2">
      <c r="B37" s="3" t="s">
        <v>27</v>
      </c>
    </row>
    <row r="38" spans="2:2" x14ac:dyDescent="0.2">
      <c r="B38" s="2" t="s">
        <v>28</v>
      </c>
    </row>
    <row r="39" spans="2:2" x14ac:dyDescent="0.2">
      <c r="B39" s="2" t="s">
        <v>29</v>
      </c>
    </row>
    <row r="41" spans="2:2" x14ac:dyDescent="0.2">
      <c r="B41" s="15" t="s">
        <v>183</v>
      </c>
    </row>
    <row r="42" spans="2:2" x14ac:dyDescent="0.2">
      <c r="B42" t="s">
        <v>184</v>
      </c>
    </row>
    <row r="43" spans="2:2" x14ac:dyDescent="0.2">
      <c r="B43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zoomScaleNormal="100" workbookViewId="0">
      <pane xSplit="2" ySplit="4" topLeftCell="G5" activePane="bottomRight" state="frozen"/>
      <selection pane="bottomLeft" activeCell="A5" sqref="A5"/>
      <selection pane="topRight" activeCell="C1" sqref="C1"/>
      <selection pane="bottomRight" activeCell="I7" sqref="I7"/>
    </sheetView>
  </sheetViews>
  <sheetFormatPr defaultColWidth="8.7421875" defaultRowHeight="15" x14ac:dyDescent="0.2"/>
  <cols>
    <col min="1" max="1" width="4.03515625" customWidth="1"/>
    <col min="2" max="2" width="14.9296875" customWidth="1"/>
    <col min="3" max="3" width="39.953125" customWidth="1"/>
    <col min="4" max="5" width="13.046875" customWidth="1"/>
    <col min="6" max="6" width="6.9921875" customWidth="1"/>
    <col min="7" max="7" width="16.0078125" customWidth="1"/>
    <col min="8" max="9" width="13.046875" customWidth="1"/>
  </cols>
  <sheetData>
    <row r="1" spans="1:9" ht="18" x14ac:dyDescent="0.2">
      <c r="A1" s="1" t="s">
        <v>30</v>
      </c>
    </row>
    <row r="2" spans="1:9" x14ac:dyDescent="0.2">
      <c r="A2" s="4" t="s">
        <v>31</v>
      </c>
    </row>
    <row r="4" spans="1:9" ht="30" customHeight="1" x14ac:dyDescent="0.2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40</v>
      </c>
    </row>
    <row r="5" spans="1:9" x14ac:dyDescent="0.2">
      <c r="A5" s="6">
        <v>1</v>
      </c>
      <c r="B5" s="6" t="s">
        <v>41</v>
      </c>
      <c r="C5" s="7" t="s">
        <v>42</v>
      </c>
      <c r="D5" s="16">
        <v>0</v>
      </c>
      <c r="E5" s="16">
        <v>0</v>
      </c>
      <c r="F5" s="9" t="str">
        <f>IFERROR(E5/D5,"—")</f>
        <v>—</v>
      </c>
      <c r="G5" s="6" t="s">
        <v>43</v>
      </c>
      <c r="H5" s="10">
        <v>5000000</v>
      </c>
      <c r="I5" s="10">
        <v>10000000</v>
      </c>
    </row>
    <row r="6" spans="1:9" x14ac:dyDescent="0.2">
      <c r="A6" s="6">
        <v>2</v>
      </c>
      <c r="B6" s="6" t="s">
        <v>44</v>
      </c>
      <c r="C6" s="7" t="s">
        <v>45</v>
      </c>
      <c r="D6" s="16">
        <v>0</v>
      </c>
      <c r="E6" s="16">
        <v>0</v>
      </c>
      <c r="F6" s="9" t="str">
        <f>IFERROR(E6/D6,"—")</f>
        <v>—</v>
      </c>
      <c r="G6" s="6" t="s">
        <v>46</v>
      </c>
      <c r="H6" s="10">
        <v>30000000</v>
      </c>
      <c r="I6" s="10">
        <v>60000000</v>
      </c>
    </row>
    <row r="7" spans="1:9" x14ac:dyDescent="0.2">
      <c r="A7" s="6">
        <v>3</v>
      </c>
      <c r="B7" s="6" t="s">
        <v>47</v>
      </c>
      <c r="C7" s="7" t="s">
        <v>48</v>
      </c>
      <c r="D7" s="16">
        <v>0</v>
      </c>
      <c r="E7" s="16">
        <v>0</v>
      </c>
      <c r="F7" s="9" t="str">
        <f>IFERROR(E7/D7,"—")</f>
        <v>—</v>
      </c>
      <c r="G7" s="6" t="s">
        <v>46</v>
      </c>
      <c r="H7" s="10">
        <v>270000000</v>
      </c>
      <c r="I7" s="10">
        <v>540000000</v>
      </c>
    </row>
    <row r="8" spans="1:9" x14ac:dyDescent="0.2">
      <c r="A8" s="6">
        <v>4</v>
      </c>
      <c r="B8" s="6" t="s">
        <v>49</v>
      </c>
      <c r="C8" s="7" t="s">
        <v>50</v>
      </c>
      <c r="D8" s="8">
        <v>5000</v>
      </c>
      <c r="E8" s="8">
        <v>12500</v>
      </c>
      <c r="F8" s="9">
        <f>IFERROR(E8/D8,"—")</f>
        <v>2.5</v>
      </c>
      <c r="G8" s="6" t="s">
        <v>51</v>
      </c>
      <c r="H8" s="10">
        <v>40000000</v>
      </c>
      <c r="I8" s="10">
        <v>80000000</v>
      </c>
    </row>
    <row r="9" spans="1:9" x14ac:dyDescent="0.2">
      <c r="A9" s="6">
        <v>5</v>
      </c>
      <c r="B9" s="6" t="s">
        <v>52</v>
      </c>
      <c r="C9" s="7" t="s">
        <v>53</v>
      </c>
      <c r="D9" s="10">
        <v>80000</v>
      </c>
      <c r="E9" s="10">
        <v>200000</v>
      </c>
      <c r="F9" s="9">
        <f>IFERROR(E9/D9,"—")</f>
        <v>2.5</v>
      </c>
      <c r="G9" s="6" t="s">
        <v>54</v>
      </c>
      <c r="H9" s="16">
        <f>I9/2</f>
        <v>12000000</v>
      </c>
      <c r="I9" s="16">
        <v>24000000</v>
      </c>
    </row>
    <row r="10" spans="1:9" x14ac:dyDescent="0.2">
      <c r="A10" s="6">
        <v>6</v>
      </c>
      <c r="B10" s="6" t="s">
        <v>55</v>
      </c>
      <c r="C10" s="7" t="s">
        <v>56</v>
      </c>
      <c r="D10" s="10">
        <v>110000</v>
      </c>
      <c r="E10" s="10">
        <v>270000</v>
      </c>
      <c r="F10" s="9">
        <f>IFERROR(E10/D10,"—")</f>
        <v>2.4545454545454546</v>
      </c>
      <c r="G10" s="6" t="s">
        <v>57</v>
      </c>
      <c r="H10" s="16">
        <f t="shared" ref="H10:H18" si="0">I10/2</f>
        <v>460000000</v>
      </c>
      <c r="I10" s="16">
        <v>920000000</v>
      </c>
    </row>
    <row r="11" spans="1:9" x14ac:dyDescent="0.2">
      <c r="A11" s="6">
        <v>7</v>
      </c>
      <c r="B11" s="6" t="s">
        <v>58</v>
      </c>
      <c r="C11" s="7" t="s">
        <v>59</v>
      </c>
      <c r="D11" s="10">
        <v>200000</v>
      </c>
      <c r="E11" s="10">
        <v>500000</v>
      </c>
      <c r="F11" s="9">
        <f>IFERROR(E11/D11,"—")</f>
        <v>2.5</v>
      </c>
      <c r="G11" s="6" t="s">
        <v>60</v>
      </c>
      <c r="H11" s="16">
        <f t="shared" si="0"/>
        <v>205000000</v>
      </c>
      <c r="I11" s="16">
        <v>410000000</v>
      </c>
    </row>
    <row r="12" spans="1:9" x14ac:dyDescent="0.2">
      <c r="A12" s="6">
        <v>8</v>
      </c>
      <c r="B12" s="6" t="s">
        <v>61</v>
      </c>
      <c r="C12" s="7" t="s">
        <v>62</v>
      </c>
      <c r="D12" s="10">
        <v>600000</v>
      </c>
      <c r="E12" s="10">
        <v>1500000</v>
      </c>
      <c r="F12" s="9">
        <f>IFERROR(E12/D12,"—")</f>
        <v>2.5</v>
      </c>
      <c r="G12" s="6" t="s">
        <v>63</v>
      </c>
      <c r="H12" s="16">
        <f t="shared" si="0"/>
        <v>5000000</v>
      </c>
      <c r="I12" s="16">
        <v>10000000</v>
      </c>
    </row>
    <row r="13" spans="1:9" x14ac:dyDescent="0.2">
      <c r="A13" s="6">
        <v>9</v>
      </c>
      <c r="B13" s="6" t="s">
        <v>64</v>
      </c>
      <c r="C13" s="7" t="s">
        <v>65</v>
      </c>
      <c r="D13" s="10">
        <v>2400000</v>
      </c>
      <c r="E13" s="10">
        <v>5800000</v>
      </c>
      <c r="F13" s="9">
        <f>IFERROR(E13/D13,"—")</f>
        <v>2.4166666666666665</v>
      </c>
      <c r="G13" s="6" t="s">
        <v>63</v>
      </c>
      <c r="H13" s="16">
        <f t="shared" si="0"/>
        <v>100000000</v>
      </c>
      <c r="I13" s="16">
        <v>200000000</v>
      </c>
    </row>
    <row r="14" spans="1:9" x14ac:dyDescent="0.2">
      <c r="A14" s="6">
        <v>10</v>
      </c>
      <c r="B14" s="6" t="s">
        <v>66</v>
      </c>
      <c r="C14" s="7" t="s">
        <v>67</v>
      </c>
      <c r="D14" s="10">
        <v>4100000</v>
      </c>
      <c r="E14" s="10">
        <v>9850000</v>
      </c>
      <c r="F14" s="9">
        <f>IFERROR(E14/D14,"—")</f>
        <v>2.4024390243902438</v>
      </c>
      <c r="G14" s="6" t="s">
        <v>68</v>
      </c>
      <c r="H14" s="16">
        <f t="shared" si="0"/>
        <v>75000000</v>
      </c>
      <c r="I14" s="16">
        <v>150000000</v>
      </c>
    </row>
    <row r="15" spans="1:9" x14ac:dyDescent="0.2">
      <c r="A15" s="6">
        <v>11</v>
      </c>
      <c r="B15" s="6" t="s">
        <v>69</v>
      </c>
      <c r="C15" s="7" t="s">
        <v>70</v>
      </c>
      <c r="D15" s="10">
        <v>8650000</v>
      </c>
      <c r="E15" s="10">
        <v>19600000</v>
      </c>
      <c r="F15" s="9">
        <f>IFERROR(E15/D15,"—")</f>
        <v>2.2658959537572256</v>
      </c>
      <c r="G15" s="6" t="s">
        <v>71</v>
      </c>
      <c r="H15" s="16">
        <f t="shared" si="0"/>
        <v>500000000</v>
      </c>
      <c r="I15" s="16">
        <v>1000000000</v>
      </c>
    </row>
    <row r="16" spans="1:9" x14ac:dyDescent="0.2">
      <c r="A16" s="6">
        <v>12</v>
      </c>
      <c r="B16" s="6" t="s">
        <v>72</v>
      </c>
      <c r="C16" s="7" t="s">
        <v>73</v>
      </c>
      <c r="D16" s="10">
        <v>19000000</v>
      </c>
      <c r="E16" s="10">
        <v>42500000</v>
      </c>
      <c r="F16" s="9">
        <f>IFERROR(E16/D16,"—")</f>
        <v>2.236842105263158</v>
      </c>
      <c r="G16" s="6" t="s">
        <v>74</v>
      </c>
      <c r="H16" s="16">
        <f t="shared" si="0"/>
        <v>80000000</v>
      </c>
      <c r="I16" s="16">
        <v>160000000</v>
      </c>
    </row>
    <row r="17" spans="1:9" x14ac:dyDescent="0.2">
      <c r="A17" s="6">
        <v>13</v>
      </c>
      <c r="B17" s="6" t="s">
        <v>75</v>
      </c>
      <c r="C17" s="7" t="s">
        <v>76</v>
      </c>
      <c r="D17" s="10">
        <v>40000000</v>
      </c>
      <c r="E17" s="10">
        <v>100000000</v>
      </c>
      <c r="F17" s="9">
        <f>IFERROR(E17/D17,"—")</f>
        <v>2.5</v>
      </c>
      <c r="G17" s="6" t="s">
        <v>77</v>
      </c>
      <c r="H17" s="8">
        <f t="shared" si="0"/>
        <v>1500000000</v>
      </c>
      <c r="I17" s="8">
        <v>3000000000</v>
      </c>
    </row>
    <row r="18" spans="1:9" x14ac:dyDescent="0.2">
      <c r="A18" s="6">
        <v>14</v>
      </c>
      <c r="B18" s="6" t="s">
        <v>78</v>
      </c>
      <c r="C18" s="7" t="s">
        <v>79</v>
      </c>
      <c r="D18" s="10">
        <v>60000000</v>
      </c>
      <c r="E18" s="10">
        <v>120000000</v>
      </c>
      <c r="F18" s="9">
        <f>IFERROR(E18/D18,"—")</f>
        <v>2</v>
      </c>
      <c r="G18" s="6" t="s">
        <v>80</v>
      </c>
      <c r="H18" s="8">
        <f t="shared" si="0"/>
        <v>2250000000</v>
      </c>
      <c r="I18" s="8">
        <v>4500000000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"/>
  <sheetViews>
    <sheetView zoomScaleNormal="100" workbookViewId="0">
      <pane xSplit="2" ySplit="4" topLeftCell="I5" activePane="bottomRight" state="frozen"/>
      <selection pane="bottomLeft" activeCell="A5" sqref="A5"/>
      <selection pane="topRight" activeCell="C1" sqref="C1"/>
      <selection pane="bottomRight" activeCell="I23" sqref="I23"/>
    </sheetView>
  </sheetViews>
  <sheetFormatPr defaultColWidth="8.7421875" defaultRowHeight="15" x14ac:dyDescent="0.2"/>
  <cols>
    <col min="1" max="1" width="4.03515625" customWidth="1"/>
    <col min="2" max="2" width="17.75390625" customWidth="1"/>
    <col min="3" max="3" width="41.96875" customWidth="1"/>
    <col min="4" max="5" width="13.046875" customWidth="1"/>
    <col min="6" max="6" width="6.9921875" customWidth="1"/>
    <col min="7" max="7" width="16.94921875" customWidth="1"/>
    <col min="8" max="8" width="13.71875" customWidth="1"/>
    <col min="9" max="9" width="12.10546875" customWidth="1"/>
  </cols>
  <sheetData>
    <row r="1" spans="1:9" ht="18" x14ac:dyDescent="0.2">
      <c r="A1" s="1" t="s">
        <v>81</v>
      </c>
    </row>
    <row r="2" spans="1:9" x14ac:dyDescent="0.2">
      <c r="A2" s="4" t="s">
        <v>82</v>
      </c>
    </row>
    <row r="4" spans="1:9" ht="30" customHeight="1" x14ac:dyDescent="0.2">
      <c r="A4" s="5" t="s">
        <v>32</v>
      </c>
      <c r="B4" s="5" t="s">
        <v>83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35</v>
      </c>
      <c r="I4" s="5" t="s">
        <v>36</v>
      </c>
    </row>
    <row r="5" spans="1:9" x14ac:dyDescent="0.2">
      <c r="A5" s="6">
        <v>1</v>
      </c>
      <c r="B5" s="6" t="s">
        <v>84</v>
      </c>
      <c r="C5" s="7" t="s">
        <v>85</v>
      </c>
      <c r="D5" s="17" t="s">
        <v>86</v>
      </c>
      <c r="E5" s="17" t="s">
        <v>86</v>
      </c>
      <c r="F5" s="9" t="str">
        <f>IFERROR(E5/D5,"—")</f>
        <v>—</v>
      </c>
      <c r="G5" s="6" t="s">
        <v>87</v>
      </c>
      <c r="H5">
        <f>I5/2</f>
        <v>0</v>
      </c>
    </row>
    <row r="6" spans="1:9" x14ac:dyDescent="0.2">
      <c r="A6" s="6">
        <v>2</v>
      </c>
      <c r="B6" s="6" t="s">
        <v>88</v>
      </c>
      <c r="C6" s="7" t="s">
        <v>89</v>
      </c>
      <c r="D6" s="17" t="s">
        <v>86</v>
      </c>
      <c r="E6" s="17" t="s">
        <v>86</v>
      </c>
      <c r="F6" s="9" t="str">
        <f>IFERROR(E6/D6,"—")</f>
        <v>—</v>
      </c>
      <c r="G6" s="6" t="s">
        <v>87</v>
      </c>
      <c r="H6">
        <f t="shared" ref="H6:H19" si="0">I6/2</f>
        <v>0</v>
      </c>
    </row>
    <row r="7" spans="1:9" x14ac:dyDescent="0.2">
      <c r="A7" s="6">
        <v>3</v>
      </c>
      <c r="B7" s="6" t="s">
        <v>55</v>
      </c>
      <c r="C7" s="7" t="s">
        <v>90</v>
      </c>
      <c r="D7" s="10">
        <v>55000</v>
      </c>
      <c r="E7" s="10">
        <v>135000</v>
      </c>
      <c r="F7" s="9">
        <f>IFERROR(E7/D7,"—")</f>
        <v>2.4545454545454546</v>
      </c>
      <c r="G7" s="6" t="s">
        <v>57</v>
      </c>
      <c r="H7">
        <f t="shared" si="0"/>
        <v>400000000</v>
      </c>
      <c r="I7">
        <v>800000000</v>
      </c>
    </row>
    <row r="8" spans="1:9" x14ac:dyDescent="0.2">
      <c r="A8" s="6">
        <v>4</v>
      </c>
      <c r="B8" s="6" t="s">
        <v>52</v>
      </c>
      <c r="C8" s="7" t="s">
        <v>91</v>
      </c>
      <c r="D8" s="10">
        <v>70000</v>
      </c>
      <c r="E8" s="10">
        <v>170000</v>
      </c>
      <c r="F8" s="9">
        <f>IFERROR(E8/D8,"—")</f>
        <v>2.4285714285714284</v>
      </c>
      <c r="G8" s="6" t="s">
        <v>54</v>
      </c>
      <c r="H8">
        <f t="shared" si="0"/>
        <v>500000000</v>
      </c>
      <c r="I8">
        <v>1000000000</v>
      </c>
    </row>
    <row r="9" spans="1:9" x14ac:dyDescent="0.2">
      <c r="A9" s="6">
        <v>5</v>
      </c>
      <c r="B9" s="6" t="s">
        <v>92</v>
      </c>
      <c r="C9" s="7" t="s">
        <v>93</v>
      </c>
      <c r="D9" s="10">
        <v>80000</v>
      </c>
      <c r="E9" s="10">
        <v>200000</v>
      </c>
      <c r="F9" s="9">
        <f>IFERROR(E9/D9,"—")</f>
        <v>2.5</v>
      </c>
      <c r="G9" s="6" t="s">
        <v>94</v>
      </c>
      <c r="H9">
        <f t="shared" si="0"/>
        <v>0</v>
      </c>
    </row>
    <row r="10" spans="1:9" x14ac:dyDescent="0.2">
      <c r="A10" s="6">
        <v>6</v>
      </c>
      <c r="B10" s="6" t="s">
        <v>44</v>
      </c>
      <c r="C10" s="7" t="s">
        <v>95</v>
      </c>
      <c r="D10" s="10">
        <v>100000</v>
      </c>
      <c r="E10" s="10">
        <v>250000</v>
      </c>
      <c r="F10" s="9">
        <f>IFERROR(E10/D10,"—")</f>
        <v>2.5</v>
      </c>
      <c r="G10" s="6" t="s">
        <v>46</v>
      </c>
      <c r="H10">
        <f t="shared" si="0"/>
        <v>20000000</v>
      </c>
      <c r="I10">
        <v>40000000</v>
      </c>
    </row>
    <row r="11" spans="1:9" x14ac:dyDescent="0.2">
      <c r="A11" s="6">
        <v>7</v>
      </c>
      <c r="B11" s="6" t="s">
        <v>96</v>
      </c>
      <c r="C11" s="7" t="s">
        <v>97</v>
      </c>
      <c r="D11" s="10">
        <v>125000</v>
      </c>
      <c r="E11" s="10">
        <v>320000</v>
      </c>
      <c r="F11" s="9">
        <f>IFERROR(E11/D11,"—")</f>
        <v>2.56</v>
      </c>
      <c r="G11" s="6" t="s">
        <v>98</v>
      </c>
      <c r="H11">
        <f t="shared" si="0"/>
        <v>100000000</v>
      </c>
      <c r="I11">
        <v>200000000</v>
      </c>
    </row>
    <row r="12" spans="1:9" x14ac:dyDescent="0.2">
      <c r="A12" s="6">
        <v>8</v>
      </c>
      <c r="B12" s="6" t="s">
        <v>49</v>
      </c>
      <c r="C12" s="7" t="s">
        <v>99</v>
      </c>
      <c r="D12" s="10">
        <v>380000</v>
      </c>
      <c r="E12" s="10">
        <v>940000</v>
      </c>
      <c r="F12" s="9">
        <f>IFERROR(E12/D12,"—")</f>
        <v>2.4736842105263159</v>
      </c>
      <c r="G12" s="6" t="s">
        <v>51</v>
      </c>
      <c r="H12">
        <f t="shared" si="0"/>
        <v>7000000</v>
      </c>
      <c r="I12">
        <v>14000000</v>
      </c>
    </row>
    <row r="13" spans="1:9" x14ac:dyDescent="0.2">
      <c r="A13" s="6">
        <v>9</v>
      </c>
      <c r="B13" s="6" t="s">
        <v>100</v>
      </c>
      <c r="C13" s="7" t="s">
        <v>101</v>
      </c>
      <c r="D13" s="10">
        <v>920000</v>
      </c>
      <c r="E13" s="10">
        <v>2200000</v>
      </c>
      <c r="F13" s="9">
        <f>IFERROR(E13/D13,"—")</f>
        <v>2.3913043478260869</v>
      </c>
      <c r="G13" s="6" t="s">
        <v>94</v>
      </c>
      <c r="H13">
        <f t="shared" si="0"/>
        <v>0</v>
      </c>
    </row>
    <row r="14" spans="1:9" x14ac:dyDescent="0.2">
      <c r="A14" s="6">
        <v>10</v>
      </c>
      <c r="B14" s="6" t="s">
        <v>72</v>
      </c>
      <c r="C14" s="7" t="s">
        <v>102</v>
      </c>
      <c r="D14" s="10">
        <v>2600000</v>
      </c>
      <c r="E14" s="10">
        <v>6200000</v>
      </c>
      <c r="F14" s="9">
        <f>IFERROR(E14/D14,"—")</f>
        <v>2.3846153846153846</v>
      </c>
      <c r="G14" s="6" t="s">
        <v>74</v>
      </c>
      <c r="H14">
        <f t="shared" si="0"/>
        <v>550000000</v>
      </c>
      <c r="I14">
        <v>1100000000</v>
      </c>
    </row>
    <row r="15" spans="1:9" x14ac:dyDescent="0.2">
      <c r="A15" s="6">
        <v>11</v>
      </c>
      <c r="B15" s="6" t="s">
        <v>103</v>
      </c>
      <c r="C15" s="7" t="s">
        <v>104</v>
      </c>
      <c r="D15" s="10">
        <v>5400000</v>
      </c>
      <c r="E15" s="10">
        <v>12300000</v>
      </c>
      <c r="F15" s="9">
        <f>IFERROR(E15/D15,"—")</f>
        <v>2.2777777777777777</v>
      </c>
      <c r="G15" s="6" t="s">
        <v>105</v>
      </c>
      <c r="H15">
        <f t="shared" si="0"/>
        <v>0</v>
      </c>
    </row>
    <row r="16" spans="1:9" x14ac:dyDescent="0.2">
      <c r="A16" s="6">
        <v>12</v>
      </c>
      <c r="B16" s="6" t="s">
        <v>106</v>
      </c>
      <c r="C16" s="7" t="s">
        <v>107</v>
      </c>
      <c r="D16" s="10">
        <v>9500000</v>
      </c>
      <c r="E16" s="10">
        <v>21000000</v>
      </c>
      <c r="F16" s="9">
        <f>IFERROR(E16/D16,"—")</f>
        <v>2.2105263157894739</v>
      </c>
      <c r="G16" s="6" t="s">
        <v>68</v>
      </c>
      <c r="H16">
        <f t="shared" si="0"/>
        <v>0</v>
      </c>
    </row>
    <row r="17" spans="1:8" x14ac:dyDescent="0.2">
      <c r="A17" s="6">
        <v>13</v>
      </c>
      <c r="B17" s="6" t="s">
        <v>108</v>
      </c>
      <c r="C17" s="7" t="s">
        <v>109</v>
      </c>
      <c r="D17" s="10">
        <v>24000000</v>
      </c>
      <c r="E17" s="10">
        <v>48000000</v>
      </c>
      <c r="F17" s="9">
        <f>IFERROR(E17/D17,"—")</f>
        <v>2</v>
      </c>
      <c r="G17" s="6" t="s">
        <v>110</v>
      </c>
      <c r="H17">
        <f t="shared" si="0"/>
        <v>0</v>
      </c>
    </row>
    <row r="18" spans="1:8" x14ac:dyDescent="0.2">
      <c r="A18" s="6">
        <v>14</v>
      </c>
      <c r="B18" s="6" t="s">
        <v>111</v>
      </c>
      <c r="C18" s="7" t="s">
        <v>112</v>
      </c>
      <c r="D18" s="10">
        <v>50000000</v>
      </c>
      <c r="E18" s="10">
        <v>120000000</v>
      </c>
      <c r="F18" s="9">
        <f>IFERROR(E18/D18,"—")</f>
        <v>2.4</v>
      </c>
      <c r="G18" s="6" t="s">
        <v>110</v>
      </c>
      <c r="H18">
        <f t="shared" si="0"/>
        <v>0</v>
      </c>
    </row>
    <row r="19" spans="1:8" x14ac:dyDescent="0.2">
      <c r="A19" s="6">
        <v>15</v>
      </c>
      <c r="B19" s="6" t="s">
        <v>113</v>
      </c>
      <c r="C19" s="7" t="s">
        <v>114</v>
      </c>
      <c r="D19" s="10">
        <v>125000000</v>
      </c>
      <c r="E19" s="10">
        <v>300000000</v>
      </c>
      <c r="F19" s="9">
        <f>IFERROR(E19/D19,"—")</f>
        <v>2.4</v>
      </c>
      <c r="G19" s="6" t="s">
        <v>110</v>
      </c>
      <c r="H19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topLeftCell="B1" zoomScaleNormal="100" workbookViewId="0">
      <selection activeCell="F20" sqref="F20"/>
    </sheetView>
  </sheetViews>
  <sheetFormatPr defaultColWidth="8.7421875" defaultRowHeight="15" x14ac:dyDescent="0.2"/>
  <cols>
    <col min="1" max="1" width="23.9453125" customWidth="1"/>
    <col min="2" max="2" width="46.00390625" customWidth="1"/>
    <col min="3" max="3" width="14.9296875" customWidth="1"/>
    <col min="4" max="4" width="20.984375" customWidth="1"/>
    <col min="5" max="5" width="6.9921875" customWidth="1"/>
    <col min="6" max="6" width="9.01171875" customWidth="1"/>
  </cols>
  <sheetData>
    <row r="1" spans="1:6" ht="18" x14ac:dyDescent="0.2">
      <c r="A1" s="1" t="s">
        <v>115</v>
      </c>
    </row>
    <row r="2" spans="1:6" x14ac:dyDescent="0.2">
      <c r="A2" s="4" t="s">
        <v>116</v>
      </c>
    </row>
    <row r="4" spans="1:6" ht="30" customHeight="1" x14ac:dyDescent="0.2">
      <c r="A4" s="5" t="s">
        <v>117</v>
      </c>
      <c r="B4" s="5" t="s">
        <v>34</v>
      </c>
      <c r="C4" s="5" t="s">
        <v>35</v>
      </c>
      <c r="D4" s="5" t="s">
        <v>36</v>
      </c>
      <c r="E4" s="5" t="s">
        <v>37</v>
      </c>
      <c r="F4" s="5" t="s">
        <v>118</v>
      </c>
    </row>
    <row r="5" spans="1:6" x14ac:dyDescent="0.2">
      <c r="A5" s="6" t="s">
        <v>119</v>
      </c>
      <c r="B5" s="7" t="s">
        <v>120</v>
      </c>
      <c r="C5" s="10">
        <v>150000</v>
      </c>
      <c r="D5" s="10">
        <v>380000</v>
      </c>
      <c r="E5" s="9">
        <f>IFERROR(D5/C5,"—")</f>
        <v>2.5333333333333332</v>
      </c>
      <c r="F5" s="6">
        <v>8</v>
      </c>
    </row>
    <row r="6" spans="1:6" x14ac:dyDescent="0.2">
      <c r="A6" s="6" t="s">
        <v>121</v>
      </c>
      <c r="B6" s="7" t="s">
        <v>122</v>
      </c>
      <c r="C6" s="10">
        <v>460000</v>
      </c>
      <c r="D6" s="10">
        <v>1130000</v>
      </c>
      <c r="E6" s="9">
        <f>IFERROR(D6/C6,"—")</f>
        <v>2.4565217391304346</v>
      </c>
      <c r="F6" s="6">
        <v>10</v>
      </c>
    </row>
    <row r="7" spans="1:6" x14ac:dyDescent="0.2">
      <c r="A7" s="6" t="s">
        <v>123</v>
      </c>
      <c r="B7" s="7" t="s">
        <v>124</v>
      </c>
      <c r="C7" s="8">
        <v>1000000</v>
      </c>
      <c r="D7" s="8">
        <v>2500000</v>
      </c>
      <c r="E7" s="9">
        <f>IFERROR(D7/C7,"—")</f>
        <v>2.5</v>
      </c>
      <c r="F7" s="6">
        <v>12</v>
      </c>
    </row>
    <row r="8" spans="1:6" x14ac:dyDescent="0.2">
      <c r="A8" s="6" t="s">
        <v>125</v>
      </c>
      <c r="B8" s="7" t="s">
        <v>126</v>
      </c>
      <c r="C8" s="10">
        <v>1800000</v>
      </c>
      <c r="D8" s="10">
        <v>1400000</v>
      </c>
      <c r="E8" s="9">
        <f>IFERROR(D8/C8,"—")</f>
        <v>0.77777777777777779</v>
      </c>
      <c r="F8" s="6"/>
    </row>
    <row r="9" spans="1:6" x14ac:dyDescent="0.2">
      <c r="A9" s="6" t="s">
        <v>127</v>
      </c>
      <c r="B9" s="7" t="s">
        <v>128</v>
      </c>
      <c r="C9" s="10">
        <v>2000000000000</v>
      </c>
      <c r="D9" s="10">
        <v>1200000000000</v>
      </c>
      <c r="E9" s="9">
        <f>IFERROR(D9/C9,"—")</f>
        <v>0.6</v>
      </c>
      <c r="F9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1"/>
  <sheetViews>
    <sheetView tabSelected="1" zoomScaleNormal="100" workbookViewId="0">
      <pane xSplit="2" ySplit="4" topLeftCell="E35" activePane="bottomRight" state="frozen"/>
      <selection pane="bottomLeft" activeCell="A5" sqref="A5"/>
      <selection pane="topRight" activeCell="C1" sqref="C1"/>
      <selection pane="bottomRight" activeCell="E38" sqref="E38"/>
    </sheetView>
  </sheetViews>
  <sheetFormatPr defaultColWidth="8.7421875" defaultRowHeight="15" x14ac:dyDescent="0.2"/>
  <cols>
    <col min="1" max="1" width="11.02734375" customWidth="1"/>
    <col min="2" max="3" width="16.94921875" customWidth="1"/>
    <col min="4" max="4" width="14.9296875" customWidth="1"/>
    <col min="5" max="5" width="13.046875" customWidth="1"/>
    <col min="6" max="6" width="16.94921875" customWidth="1"/>
    <col min="7" max="7" width="14.9296875" customWidth="1"/>
    <col min="8" max="8" width="13.046875" customWidth="1"/>
  </cols>
  <sheetData>
    <row r="1" spans="1:8" ht="18" x14ac:dyDescent="0.2">
      <c r="A1" s="1" t="s">
        <v>129</v>
      </c>
    </row>
    <row r="2" spans="1:8" ht="25.5" customHeight="1" x14ac:dyDescent="0.2">
      <c r="A2" s="11" t="s">
        <v>130</v>
      </c>
    </row>
    <row r="4" spans="1:8" ht="30" customHeight="1" x14ac:dyDescent="0.2">
      <c r="A4" s="5" t="s">
        <v>131</v>
      </c>
      <c r="B4" s="5" t="s">
        <v>132</v>
      </c>
      <c r="C4" s="5" t="s">
        <v>133</v>
      </c>
      <c r="D4" s="5" t="s">
        <v>134</v>
      </c>
      <c r="E4" s="5" t="s">
        <v>135</v>
      </c>
      <c r="F4" s="5" t="s">
        <v>38</v>
      </c>
      <c r="G4" s="5" t="s">
        <v>136</v>
      </c>
      <c r="H4" s="5" t="s">
        <v>135</v>
      </c>
    </row>
    <row r="5" spans="1:8" x14ac:dyDescent="0.2">
      <c r="A5" s="12" t="s">
        <v>137</v>
      </c>
      <c r="B5" s="13"/>
      <c r="C5" s="13"/>
      <c r="D5" s="13"/>
      <c r="E5" s="13"/>
      <c r="F5" s="13"/>
      <c r="G5" s="13"/>
      <c r="H5" s="13"/>
    </row>
    <row r="6" spans="1:8" x14ac:dyDescent="0.2">
      <c r="A6" s="7" t="s">
        <v>137</v>
      </c>
      <c r="B6" s="6" t="s">
        <v>138</v>
      </c>
      <c r="C6" s="7" t="s">
        <v>41</v>
      </c>
      <c r="D6" s="10">
        <f>'TA-OFFENSE'!E5</f>
        <v>0</v>
      </c>
      <c r="E6" s="14">
        <v>0</v>
      </c>
      <c r="F6" s="6" t="s">
        <v>139</v>
      </c>
      <c r="G6" s="10">
        <f>'TA-OFFENSE'!I5</f>
        <v>10000000</v>
      </c>
      <c r="H6" s="18">
        <f>G6</f>
        <v>10000000</v>
      </c>
    </row>
    <row r="7" spans="1:8" x14ac:dyDescent="0.2">
      <c r="A7" s="7" t="s">
        <v>137</v>
      </c>
      <c r="B7" s="6" t="s">
        <v>140</v>
      </c>
      <c r="C7" s="7" t="s">
        <v>44</v>
      </c>
      <c r="D7" s="10">
        <f>'TA-OFFENSE'!E6</f>
        <v>0</v>
      </c>
      <c r="E7" s="14">
        <v>0</v>
      </c>
      <c r="F7" s="6" t="s">
        <v>141</v>
      </c>
      <c r="G7" s="10">
        <f>'TA-OFFENSE'!I6</f>
        <v>60000000</v>
      </c>
      <c r="H7" s="18">
        <f t="shared" ref="H7:H10" si="0">G7</f>
        <v>60000000</v>
      </c>
    </row>
    <row r="8" spans="1:8" x14ac:dyDescent="0.2">
      <c r="A8" s="7" t="s">
        <v>137</v>
      </c>
      <c r="B8" s="6" t="s">
        <v>142</v>
      </c>
      <c r="C8" s="7" t="s">
        <v>47</v>
      </c>
      <c r="D8" s="10">
        <f>'TA-OFFENSE'!E7</f>
        <v>0</v>
      </c>
      <c r="E8" s="14">
        <v>50000</v>
      </c>
      <c r="F8" s="6" t="s">
        <v>141</v>
      </c>
      <c r="G8" s="10">
        <f>'TA-OFFENSE'!I7</f>
        <v>540000000</v>
      </c>
      <c r="H8" s="18">
        <f t="shared" si="0"/>
        <v>540000000</v>
      </c>
    </row>
    <row r="9" spans="1:8" x14ac:dyDescent="0.2">
      <c r="A9" s="7" t="s">
        <v>137</v>
      </c>
      <c r="B9" s="6" t="s">
        <v>143</v>
      </c>
      <c r="C9" s="7" t="s">
        <v>49</v>
      </c>
      <c r="D9" s="10">
        <f>'TA-OFFENSE'!E8</f>
        <v>12500</v>
      </c>
      <c r="E9" s="14">
        <v>12500</v>
      </c>
      <c r="F9" s="6" t="s">
        <v>139</v>
      </c>
      <c r="G9" s="10">
        <f>'TA-OFFENSE'!I8</f>
        <v>80000000</v>
      </c>
      <c r="H9" s="18">
        <f t="shared" si="0"/>
        <v>80000000</v>
      </c>
    </row>
    <row r="10" spans="1:8" x14ac:dyDescent="0.2">
      <c r="A10" s="7" t="s">
        <v>137</v>
      </c>
      <c r="B10" s="6" t="s">
        <v>144</v>
      </c>
      <c r="C10" s="7" t="s">
        <v>52</v>
      </c>
      <c r="D10" s="10">
        <f>'TA-OFFENSE'!E9</f>
        <v>200000</v>
      </c>
      <c r="E10" s="14">
        <v>200000</v>
      </c>
      <c r="F10" s="6" t="s">
        <v>145</v>
      </c>
      <c r="G10" s="10">
        <f>'TA-OFFENSE'!I9</f>
        <v>24000000</v>
      </c>
      <c r="H10" s="18">
        <f t="shared" si="0"/>
        <v>24000000</v>
      </c>
    </row>
    <row r="11" spans="1:8" x14ac:dyDescent="0.2">
      <c r="A11" s="7" t="s">
        <v>137</v>
      </c>
      <c r="B11" s="6" t="s">
        <v>146</v>
      </c>
      <c r="C11" s="7" t="s">
        <v>55</v>
      </c>
      <c r="D11" s="10">
        <f>'TA-OFFENSE'!E10</f>
        <v>270000</v>
      </c>
      <c r="E11" s="14">
        <v>300000</v>
      </c>
      <c r="F11" s="6" t="s">
        <v>147</v>
      </c>
      <c r="G11" s="10">
        <f>'TA-OFFENSE'!I10</f>
        <v>920000000</v>
      </c>
      <c r="H11" s="18">
        <v>300000000</v>
      </c>
    </row>
    <row r="12" spans="1:8" x14ac:dyDescent="0.2">
      <c r="A12" s="7" t="s">
        <v>137</v>
      </c>
      <c r="B12" s="6" t="s">
        <v>148</v>
      </c>
      <c r="C12" s="7" t="s">
        <v>58</v>
      </c>
      <c r="D12" s="10">
        <f>'TA-OFFENSE'!E11</f>
        <v>500000</v>
      </c>
      <c r="E12" s="14">
        <v>750000</v>
      </c>
      <c r="F12" s="6" t="s">
        <v>149</v>
      </c>
      <c r="G12" s="10">
        <f>'TA-OFFENSE'!I11</f>
        <v>410000000</v>
      </c>
      <c r="H12" s="18">
        <v>800000000</v>
      </c>
    </row>
    <row r="13" spans="1:8" x14ac:dyDescent="0.2">
      <c r="A13" s="7" t="s">
        <v>137</v>
      </c>
      <c r="B13" s="6" t="s">
        <v>150</v>
      </c>
      <c r="C13" s="7" t="s">
        <v>61</v>
      </c>
      <c r="D13" s="10">
        <f>'TA-OFFENSE'!E12</f>
        <v>1500000</v>
      </c>
      <c r="E13" s="18">
        <f>D13</f>
        <v>1500000</v>
      </c>
      <c r="F13" s="6" t="s">
        <v>151</v>
      </c>
      <c r="G13" s="10">
        <f>'TA-OFFENSE'!I12</f>
        <v>10000000</v>
      </c>
      <c r="H13" s="18">
        <v>10000000</v>
      </c>
    </row>
    <row r="14" spans="1:8" x14ac:dyDescent="0.2">
      <c r="A14" s="7" t="s">
        <v>137</v>
      </c>
      <c r="B14" s="6" t="s">
        <v>152</v>
      </c>
      <c r="C14" s="7" t="s">
        <v>64</v>
      </c>
      <c r="D14" s="10">
        <f>'TA-OFFENSE'!E13</f>
        <v>5800000</v>
      </c>
      <c r="E14" s="18">
        <f t="shared" ref="E14:E19" si="1">D14</f>
        <v>5800000</v>
      </c>
      <c r="F14" s="6" t="s">
        <v>151</v>
      </c>
      <c r="G14" s="10">
        <f>'TA-OFFENSE'!I13</f>
        <v>200000000</v>
      </c>
      <c r="H14" s="18">
        <v>200000000</v>
      </c>
    </row>
    <row r="15" spans="1:8" x14ac:dyDescent="0.2">
      <c r="A15" s="7" t="s">
        <v>137</v>
      </c>
      <c r="B15" s="6" t="s">
        <v>153</v>
      </c>
      <c r="C15" s="7" t="s">
        <v>66</v>
      </c>
      <c r="D15" s="10">
        <f>'TA-OFFENSE'!E14</f>
        <v>9850000</v>
      </c>
      <c r="E15" s="18">
        <f t="shared" si="1"/>
        <v>9850000</v>
      </c>
      <c r="F15" s="6" t="s">
        <v>68</v>
      </c>
      <c r="G15" s="10">
        <f>'TA-OFFENSE'!I14</f>
        <v>150000000</v>
      </c>
      <c r="H15" s="18">
        <v>150000000</v>
      </c>
    </row>
    <row r="16" spans="1:8" x14ac:dyDescent="0.2">
      <c r="A16" s="7" t="s">
        <v>137</v>
      </c>
      <c r="B16" s="6" t="s">
        <v>154</v>
      </c>
      <c r="C16" s="7" t="s">
        <v>69</v>
      </c>
      <c r="D16" s="10">
        <f>'TA-OFFENSE'!E15</f>
        <v>19600000</v>
      </c>
      <c r="E16" s="18">
        <f t="shared" si="1"/>
        <v>19600000</v>
      </c>
      <c r="F16" s="6" t="s">
        <v>145</v>
      </c>
      <c r="G16" s="10">
        <f>'TA-OFFENSE'!I15</f>
        <v>1000000000</v>
      </c>
      <c r="H16" s="18">
        <v>1000000000</v>
      </c>
    </row>
    <row r="17" spans="1:8" x14ac:dyDescent="0.2">
      <c r="A17" s="7" t="s">
        <v>137</v>
      </c>
      <c r="B17" s="6" t="s">
        <v>155</v>
      </c>
      <c r="C17" s="7" t="s">
        <v>72</v>
      </c>
      <c r="D17" s="10">
        <f>'TA-OFFENSE'!E16</f>
        <v>42500000</v>
      </c>
      <c r="E17" s="18">
        <f t="shared" si="1"/>
        <v>42500000</v>
      </c>
      <c r="F17" s="6" t="s">
        <v>149</v>
      </c>
      <c r="G17" s="10">
        <f>'TA-OFFENSE'!I16</f>
        <v>160000000</v>
      </c>
      <c r="H17" s="18">
        <v>1200000000</v>
      </c>
    </row>
    <row r="18" spans="1:8" x14ac:dyDescent="0.2">
      <c r="A18" s="7" t="s">
        <v>137</v>
      </c>
      <c r="B18" s="6" t="s">
        <v>156</v>
      </c>
      <c r="C18" s="7" t="s">
        <v>75</v>
      </c>
      <c r="D18" s="10">
        <f>'TA-OFFENSE'!E17</f>
        <v>100000000</v>
      </c>
      <c r="E18" s="18">
        <f t="shared" si="1"/>
        <v>100000000</v>
      </c>
      <c r="F18" s="6" t="s">
        <v>157</v>
      </c>
      <c r="G18" s="10">
        <f>'TA-OFFENSE'!I17</f>
        <v>3000000000</v>
      </c>
      <c r="H18" s="18">
        <v>1500000000</v>
      </c>
    </row>
    <row r="19" spans="1:8" x14ac:dyDescent="0.2">
      <c r="A19" s="7" t="s">
        <v>137</v>
      </c>
      <c r="B19" s="6" t="s">
        <v>158</v>
      </c>
      <c r="C19" s="7" t="s">
        <v>78</v>
      </c>
      <c r="D19" s="10">
        <f>'TA-OFFENSE'!E18</f>
        <v>120000000</v>
      </c>
      <c r="E19" s="18">
        <f t="shared" si="1"/>
        <v>120000000</v>
      </c>
      <c r="F19" s="6" t="s">
        <v>159</v>
      </c>
      <c r="G19" s="10">
        <f>'TA-OFFENSE'!I18</f>
        <v>4500000000</v>
      </c>
      <c r="H19" s="18">
        <v>2500000000</v>
      </c>
    </row>
    <row r="20" spans="1:8" x14ac:dyDescent="0.2">
      <c r="A20" s="12" t="s">
        <v>83</v>
      </c>
      <c r="B20" s="13"/>
      <c r="C20" s="13"/>
      <c r="D20" s="13"/>
      <c r="E20" s="13"/>
      <c r="F20" s="13"/>
      <c r="G20" s="13"/>
      <c r="H20" s="13"/>
    </row>
    <row r="21" spans="1:8" x14ac:dyDescent="0.2">
      <c r="A21" s="7" t="s">
        <v>83</v>
      </c>
      <c r="B21" s="6" t="s">
        <v>160</v>
      </c>
      <c r="C21" s="7" t="s">
        <v>84</v>
      </c>
      <c r="D21" s="10" t="str">
        <f>'TA-DEFENSE'!E5</f>
        <v>gratuit</v>
      </c>
      <c r="E21" s="18" t="str">
        <f>D21</f>
        <v>gratuit</v>
      </c>
      <c r="F21" s="6" t="s">
        <v>161</v>
      </c>
      <c r="G21" s="10">
        <f>'TA-DEFENSE'!I5</f>
        <v>0</v>
      </c>
      <c r="H21" s="18">
        <v>1200000</v>
      </c>
    </row>
    <row r="22" spans="1:8" x14ac:dyDescent="0.2">
      <c r="A22" s="7" t="s">
        <v>83</v>
      </c>
      <c r="B22" s="6" t="s">
        <v>162</v>
      </c>
      <c r="C22" s="7" t="s">
        <v>88</v>
      </c>
      <c r="D22" s="10" t="str">
        <f>'TA-DEFENSE'!E6</f>
        <v>gratuit</v>
      </c>
      <c r="E22" s="18" t="str">
        <f t="shared" ref="E22:E35" si="2">D22</f>
        <v>gratuit</v>
      </c>
      <c r="F22" s="6" t="s">
        <v>161</v>
      </c>
      <c r="G22" s="10">
        <f>'TA-DEFENSE'!I6</f>
        <v>0</v>
      </c>
      <c r="H22" s="18">
        <v>140000000</v>
      </c>
    </row>
    <row r="23" spans="1:8" x14ac:dyDescent="0.2">
      <c r="A23" s="7" t="s">
        <v>83</v>
      </c>
      <c r="B23" s="6" t="s">
        <v>163</v>
      </c>
      <c r="C23" s="7" t="s">
        <v>55</v>
      </c>
      <c r="D23" s="10">
        <f>'TA-DEFENSE'!E7</f>
        <v>135000</v>
      </c>
      <c r="E23" s="18">
        <f t="shared" si="2"/>
        <v>135000</v>
      </c>
      <c r="F23" s="6" t="s">
        <v>147</v>
      </c>
      <c r="G23" s="10">
        <f>'TA-DEFENSE'!I7</f>
        <v>800000000</v>
      </c>
      <c r="H23" s="18">
        <f t="shared" ref="H22:H35" si="3">G23</f>
        <v>800000000</v>
      </c>
    </row>
    <row r="24" spans="1:8" x14ac:dyDescent="0.2">
      <c r="A24" s="7" t="s">
        <v>83</v>
      </c>
      <c r="B24" s="6" t="s">
        <v>164</v>
      </c>
      <c r="C24" s="7" t="s">
        <v>52</v>
      </c>
      <c r="D24" s="10">
        <f>'TA-DEFENSE'!E8</f>
        <v>170000</v>
      </c>
      <c r="E24" s="18">
        <f t="shared" si="2"/>
        <v>170000</v>
      </c>
      <c r="F24" s="6" t="s">
        <v>145</v>
      </c>
      <c r="G24" s="10">
        <f>'TA-DEFENSE'!I8</f>
        <v>1000000000</v>
      </c>
      <c r="H24" s="18">
        <v>200000000</v>
      </c>
    </row>
    <row r="25" spans="1:8" x14ac:dyDescent="0.2">
      <c r="A25" s="7" t="s">
        <v>83</v>
      </c>
      <c r="B25" s="6" t="s">
        <v>165</v>
      </c>
      <c r="C25" s="7" t="s">
        <v>92</v>
      </c>
      <c r="D25" s="10">
        <f>'TA-DEFENSE'!E9</f>
        <v>200000</v>
      </c>
      <c r="E25" s="18">
        <f t="shared" si="2"/>
        <v>200000</v>
      </c>
      <c r="F25" s="6" t="s">
        <v>161</v>
      </c>
      <c r="G25" s="10">
        <f>'TA-DEFENSE'!I9</f>
        <v>0</v>
      </c>
      <c r="H25" s="18">
        <v>3000000</v>
      </c>
    </row>
    <row r="26" spans="1:8" x14ac:dyDescent="0.2">
      <c r="A26" s="7" t="s">
        <v>83</v>
      </c>
      <c r="B26" s="6" t="s">
        <v>166</v>
      </c>
      <c r="C26" s="7" t="s">
        <v>44</v>
      </c>
      <c r="D26" s="10">
        <f>'TA-DEFENSE'!E10</f>
        <v>250000</v>
      </c>
      <c r="E26" s="18">
        <f t="shared" si="2"/>
        <v>250000</v>
      </c>
      <c r="F26" s="6" t="s">
        <v>141</v>
      </c>
      <c r="G26" s="10">
        <f>'TA-DEFENSE'!I10</f>
        <v>40000000</v>
      </c>
      <c r="H26" s="18">
        <f t="shared" si="3"/>
        <v>40000000</v>
      </c>
    </row>
    <row r="27" spans="1:8" x14ac:dyDescent="0.2">
      <c r="A27" s="7" t="s">
        <v>83</v>
      </c>
      <c r="B27" s="6" t="s">
        <v>167</v>
      </c>
      <c r="C27" s="7" t="s">
        <v>96</v>
      </c>
      <c r="D27" s="10">
        <f>'TA-DEFENSE'!E11</f>
        <v>320000</v>
      </c>
      <c r="E27" s="18">
        <f t="shared" si="2"/>
        <v>320000</v>
      </c>
      <c r="F27" s="6" t="s">
        <v>141</v>
      </c>
      <c r="G27" s="10">
        <f>'TA-DEFENSE'!I11</f>
        <v>200000000</v>
      </c>
      <c r="H27" s="18">
        <f t="shared" si="3"/>
        <v>200000000</v>
      </c>
    </row>
    <row r="28" spans="1:8" x14ac:dyDescent="0.2">
      <c r="A28" s="7" t="s">
        <v>83</v>
      </c>
      <c r="B28" s="6" t="s">
        <v>168</v>
      </c>
      <c r="C28" s="7" t="s">
        <v>49</v>
      </c>
      <c r="D28" s="10">
        <f>'TA-DEFENSE'!E12</f>
        <v>940000</v>
      </c>
      <c r="E28" s="18">
        <f t="shared" si="2"/>
        <v>940000</v>
      </c>
      <c r="F28" s="6" t="s">
        <v>139</v>
      </c>
      <c r="G28" s="10">
        <f>'TA-DEFENSE'!I12</f>
        <v>14000000</v>
      </c>
      <c r="H28" s="18">
        <f t="shared" si="3"/>
        <v>14000000</v>
      </c>
    </row>
    <row r="29" spans="1:8" x14ac:dyDescent="0.2">
      <c r="A29" s="7" t="s">
        <v>83</v>
      </c>
      <c r="B29" s="6" t="s">
        <v>169</v>
      </c>
      <c r="C29" s="7" t="s">
        <v>100</v>
      </c>
      <c r="D29" s="10">
        <f>'TA-DEFENSE'!E13</f>
        <v>2200000</v>
      </c>
      <c r="E29" s="18">
        <f t="shared" si="2"/>
        <v>2200000</v>
      </c>
      <c r="F29" s="6" t="s">
        <v>161</v>
      </c>
      <c r="G29" s="10">
        <f>'TA-DEFENSE'!I13</f>
        <v>0</v>
      </c>
      <c r="H29" s="18">
        <v>80000000</v>
      </c>
    </row>
    <row r="30" spans="1:8" x14ac:dyDescent="0.2">
      <c r="A30" s="7" t="s">
        <v>83</v>
      </c>
      <c r="B30" s="6" t="s">
        <v>170</v>
      </c>
      <c r="C30" s="7" t="s">
        <v>72</v>
      </c>
      <c r="D30" s="10">
        <f>'TA-DEFENSE'!E14</f>
        <v>6200000</v>
      </c>
      <c r="E30" s="18">
        <f t="shared" si="2"/>
        <v>6200000</v>
      </c>
      <c r="F30" s="6" t="s">
        <v>149</v>
      </c>
      <c r="G30" s="10">
        <f>'TA-DEFENSE'!I14</f>
        <v>1100000000</v>
      </c>
      <c r="H30" s="18">
        <f t="shared" si="3"/>
        <v>1100000000</v>
      </c>
    </row>
    <row r="31" spans="1:8" x14ac:dyDescent="0.2">
      <c r="A31" s="7" t="s">
        <v>83</v>
      </c>
      <c r="B31" s="6" t="s">
        <v>171</v>
      </c>
      <c r="C31" s="7" t="s">
        <v>103</v>
      </c>
      <c r="D31" s="10">
        <f>'TA-DEFENSE'!E15</f>
        <v>12300000</v>
      </c>
      <c r="E31" s="18">
        <f t="shared" si="2"/>
        <v>12300000</v>
      </c>
      <c r="F31" s="6" t="s">
        <v>147</v>
      </c>
      <c r="G31" s="10">
        <f>'TA-DEFENSE'!I15</f>
        <v>0</v>
      </c>
      <c r="H31" s="18">
        <v>450000000</v>
      </c>
    </row>
    <row r="32" spans="1:8" x14ac:dyDescent="0.2">
      <c r="A32" s="7" t="s">
        <v>83</v>
      </c>
      <c r="B32" s="6" t="s">
        <v>172</v>
      </c>
      <c r="C32" s="7" t="s">
        <v>106</v>
      </c>
      <c r="D32" s="10">
        <f>'TA-DEFENSE'!E16</f>
        <v>21000000</v>
      </c>
      <c r="E32" s="18">
        <f t="shared" si="2"/>
        <v>21000000</v>
      </c>
      <c r="F32" s="6" t="s">
        <v>68</v>
      </c>
      <c r="G32" s="10">
        <f>'TA-DEFENSE'!I16</f>
        <v>0</v>
      </c>
      <c r="H32" s="18">
        <v>150000000</v>
      </c>
    </row>
    <row r="33" spans="1:8" x14ac:dyDescent="0.2">
      <c r="A33" s="7" t="s">
        <v>83</v>
      </c>
      <c r="B33" s="6" t="s">
        <v>173</v>
      </c>
      <c r="C33" s="7" t="s">
        <v>108</v>
      </c>
      <c r="D33" s="10">
        <f>'TA-DEFENSE'!E17</f>
        <v>48000000</v>
      </c>
      <c r="E33" s="18">
        <f t="shared" si="2"/>
        <v>48000000</v>
      </c>
      <c r="F33" s="6" t="s">
        <v>174</v>
      </c>
      <c r="G33" s="10">
        <f>'TA-DEFENSE'!I17</f>
        <v>0</v>
      </c>
      <c r="H33" s="18">
        <v>900000000</v>
      </c>
    </row>
    <row r="34" spans="1:8" x14ac:dyDescent="0.2">
      <c r="A34" s="7" t="s">
        <v>83</v>
      </c>
      <c r="B34" s="6" t="s">
        <v>175</v>
      </c>
      <c r="C34" s="7" t="s">
        <v>111</v>
      </c>
      <c r="D34" s="10">
        <f>'TA-DEFENSE'!E18</f>
        <v>120000000</v>
      </c>
      <c r="E34" s="18">
        <f t="shared" si="2"/>
        <v>120000000</v>
      </c>
      <c r="F34" s="6" t="s">
        <v>174</v>
      </c>
      <c r="G34" s="10">
        <f>'TA-DEFENSE'!I18</f>
        <v>0</v>
      </c>
      <c r="H34" s="18">
        <v>1400000000</v>
      </c>
    </row>
    <row r="35" spans="1:8" x14ac:dyDescent="0.2">
      <c r="A35" s="7" t="s">
        <v>83</v>
      </c>
      <c r="B35" s="6" t="s">
        <v>176</v>
      </c>
      <c r="C35" s="7" t="s">
        <v>113</v>
      </c>
      <c r="D35" s="10">
        <f>'TA-DEFENSE'!E19</f>
        <v>300000000</v>
      </c>
      <c r="E35" s="18">
        <f t="shared" si="2"/>
        <v>300000000</v>
      </c>
      <c r="F35" s="6" t="s">
        <v>174</v>
      </c>
      <c r="G35" s="10">
        <f>'TA-DEFENSE'!I19</f>
        <v>0</v>
      </c>
      <c r="H35" s="18">
        <v>2000000000</v>
      </c>
    </row>
    <row r="36" spans="1:8" x14ac:dyDescent="0.2">
      <c r="A36" s="12" t="s">
        <v>177</v>
      </c>
      <c r="B36" s="13"/>
      <c r="C36" s="13"/>
      <c r="D36" s="13"/>
      <c r="E36" s="13"/>
      <c r="F36" s="13"/>
      <c r="G36" s="13"/>
      <c r="H36" s="13"/>
    </row>
    <row r="37" spans="1:8" ht="27.75" x14ac:dyDescent="0.2">
      <c r="A37" s="7" t="s">
        <v>177</v>
      </c>
      <c r="B37" s="6" t="s">
        <v>178</v>
      </c>
      <c r="C37" s="7" t="s">
        <v>119</v>
      </c>
      <c r="D37" s="10">
        <v>380000</v>
      </c>
      <c r="E37" s="19" t="s">
        <v>188</v>
      </c>
      <c r="F37" s="6" t="s">
        <v>87</v>
      </c>
      <c r="G37" s="10"/>
      <c r="H37" s="14"/>
    </row>
    <row r="38" spans="1:8" ht="27.75" x14ac:dyDescent="0.2">
      <c r="A38" s="7" t="s">
        <v>177</v>
      </c>
      <c r="B38" s="6" t="s">
        <v>179</v>
      </c>
      <c r="C38" s="7" t="s">
        <v>121</v>
      </c>
      <c r="D38" s="10">
        <v>1130000</v>
      </c>
      <c r="E38" s="19" t="s">
        <v>190</v>
      </c>
      <c r="F38" s="6" t="s">
        <v>87</v>
      </c>
      <c r="G38" s="10"/>
      <c r="H38" s="14"/>
    </row>
    <row r="39" spans="1:8" ht="27.75" x14ac:dyDescent="0.2">
      <c r="A39" s="7" t="s">
        <v>177</v>
      </c>
      <c r="B39" s="6" t="s">
        <v>180</v>
      </c>
      <c r="C39" s="7" t="s">
        <v>123</v>
      </c>
      <c r="D39" s="10">
        <v>2500000</v>
      </c>
      <c r="E39" s="19" t="s">
        <v>189</v>
      </c>
      <c r="F39" s="6" t="s">
        <v>87</v>
      </c>
      <c r="G39" s="10"/>
      <c r="H39" s="14"/>
    </row>
    <row r="40" spans="1:8" x14ac:dyDescent="0.2">
      <c r="A40" s="7" t="s">
        <v>177</v>
      </c>
      <c r="B40" s="6" t="s">
        <v>181</v>
      </c>
      <c r="C40" s="7" t="s">
        <v>182</v>
      </c>
      <c r="D40" s="10">
        <v>1400000</v>
      </c>
      <c r="E40" s="19">
        <v>2000000</v>
      </c>
      <c r="F40" s="6" t="s">
        <v>87</v>
      </c>
      <c r="G40" s="10"/>
      <c r="H40" s="14"/>
    </row>
    <row r="41" spans="1:8" x14ac:dyDescent="0.2">
      <c r="B41" t="s">
        <v>186</v>
      </c>
      <c r="E41" t="s">
        <v>187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Android</Application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LISEZ-MOI</vt:lpstr>
      <vt:lpstr>TA-OFFENSE</vt:lpstr>
      <vt:lpstr>TA-DEFENSE</vt:lpstr>
      <vt:lpstr>TA-SPECIAL</vt:lpstr>
      <vt:lpstr>FOYER-ZERO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2026-08-23T22:10:18Z</dcterms:created>
  <dcterms:modified xsi:type="dcterms:W3CDTF">2026-08-23T22:10:18Z</dcterms:modified>
  <dc:language>en-US</dc:language>
</cp:coreProperties>
</file>