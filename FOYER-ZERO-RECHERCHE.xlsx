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TA-OFFENSE" sheetId="2" state="visible" r:id="rId4"/>
    <sheet name="TA-DEFENSE" sheetId="3" state="visible" r:id="rId5"/>
    <sheet name="TA-SPECIAL" sheetId="4" state="visible" r:id="rId6"/>
    <sheet name="FOYER-ZER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<sst xmlns="http://schemas.openxmlformats.org/spreadsheetml/2006/main" count="304" uniqueCount="183">
  <si>
    <t xml:space="preserve">Arbre de recherche — relevé TA et transposition Foyer Zéro</t>
  </si>
  <si>
    <t xml:space="preserve">Source</t>
  </si>
  <si>
    <t xml:space="preserve">Seize captures de l'écran RECHERCHE de Tiberium Alliances, onglets OFFENSE, DÉFENSE et SPÉCIAL,</t>
  </si>
  <si>
    <t xml:space="preserve">relevées le 23/08/2026. Chaque carte donne un coût en crédits et un coût en points de recherche.</t>
  </si>
  <si>
    <t xml:space="preserve">Lecture des cellules</t>
  </si>
  <si>
    <t xml:space="preserve">NOIR        : valeur lue sur une capture.</t>
  </si>
  <si>
    <t xml:space="preserve">ROUGE ITALIQUE sur fond rose : valeur ESTIMÉE. La recherche était déjà acquise ou hors capture,</t>
  </si>
  <si>
    <t xml:space="preserve">              le coût n'était donc pas affiché. À corriger.</t>
  </si>
  <si>
    <t xml:space="preserve">JAUNE       : à remplir ou à trancher.</t>
  </si>
  <si>
    <t xml:space="preserve">Le rapport crédits / points de recherche</t>
  </si>
  <si>
    <t xml:space="preserve">Constant sur les 27 recherches lisibles : les points de recherche coûtent 2,0 à 2,6 fois les</t>
  </si>
  <si>
    <t xml:space="preserve">crédits, moyenne 2,4. La seule exception est le VCM, à 0,78 — c'est la recherche qui donne une</t>
  </si>
  <si>
    <t xml:space="preserve">base supplémentaire, elle ne suit pas le barème des unités.</t>
  </si>
  <si>
    <t xml:space="preserve">Foyer Zéro n'ayant pas de crédits, seule la colonne « points de recherche » est transposée.</t>
  </si>
  <si>
    <t xml:space="preserve">Le pas de l'arbre</t>
  </si>
  <si>
    <t xml:space="preserve">Chaque échelon coûte environ le DOUBLE du précédent. Sur l'offense : 200k → 270k → 500k → 1,5M</t>
  </si>
  <si>
    <t xml:space="preserve">→ 5,8M → 9,85M → 19,6M → 42,5M → 100M → 120M. Sur la défense, treize échelons de 135k à 300M,</t>
  </si>
  <si>
    <t xml:space="preserve">soit un rapport de 2 200 entre le premier et le dernier.</t>
  </si>
  <si>
    <t xml:space="preserve">Ce que ça résout</t>
  </si>
  <si>
    <t xml:space="preserve">Le revenu en points de recherche DOUBLE par niveau de défense détruite. J'avais signalé que cela</t>
  </si>
  <si>
    <t xml:space="preserve">divergeait du ×1,32 de tout le reste. Les captures lèvent l'alerte : le COÛT de l'arbre double</t>
  </si>
  <si>
    <t xml:space="preserve">lui aussi à chaque échelon. Les deux courbes sont en phase, le ×2 est cohérent avec lui-même.</t>
  </si>
  <si>
    <t xml:space="preserve">Il reste à caler la cadence — combien de niveaux de progression pour un échelon d'arbre.</t>
  </si>
  <si>
    <t xml:space="preserve">Les modules</t>
  </si>
  <si>
    <t xml:space="preserve">Ce sont des améliorations PERMANENTES, appliquées à toutes les unités du type concerné.</t>
  </si>
  <si>
    <t xml:space="preserve">Ils coûtent beaucoup plus cher que l'unité : le Fusilier est gratuit, son module vaut 10M.</t>
  </si>
  <si>
    <t xml:space="preserve">Quatre coûts seulement sont lisibles ; les autres n'apparaissent qu'une fois l'unité acquise.</t>
  </si>
  <si>
    <t xml:space="preserve">Feuilles</t>
  </si>
  <si>
    <t xml:space="preserve">TA-OFFENSE · TA-DEFENSE · TA-SPECIAL : le relevé fidèle, avec les deux monnaies.</t>
  </si>
  <si>
    <t xml:space="preserve">FOYER-ZERO : la transposition, avec nos noms et les points de recherche seuls.</t>
  </si>
  <si>
    <t xml:space="preserve">TA — onglet OFFENSE</t>
  </si>
  <si>
    <t xml:space="preserve">Ordre d'affichage dans le jeu, trois cartes par rangée. Les quatre premières étaient déjà acquises : coûts estimés.</t>
  </si>
  <si>
    <t xml:space="preserve">#</t>
  </si>
  <si>
    <t xml:space="preserve">Unité</t>
  </si>
  <si>
    <t xml:space="preserve">Description</t>
  </si>
  <si>
    <t xml:space="preserve">Crédits</t>
  </si>
  <si>
    <t xml:space="preserve">Points de
recherche</t>
  </si>
  <si>
    <t xml:space="preserve">Ratio</t>
  </si>
  <si>
    <t xml:space="preserve">Module</t>
  </si>
  <si>
    <t xml:space="preserve">Crédits
module</t>
  </si>
  <si>
    <t xml:space="preserve">Points rech.
module</t>
  </si>
  <si>
    <t xml:space="preserve">Rifleman Squad</t>
  </si>
  <si>
    <t xml:space="preserve">escouade de base, contre l'infanterie</t>
  </si>
  <si>
    <t xml:space="preserve">Smoke Grenade</t>
  </si>
  <si>
    <t xml:space="preserve">Guardian</t>
  </si>
  <si>
    <t xml:space="preserve">véhicule anti-infanterie rapide, courte portée</t>
  </si>
  <si>
    <t xml:space="preserve">Transport</t>
  </si>
  <si>
    <t xml:space="preserve">Paladin</t>
  </si>
  <si>
    <t xml:space="preserve">chasseur de véhicules volant</t>
  </si>
  <si>
    <t xml:space="preserve">Pitbull</t>
  </si>
  <si>
    <t xml:space="preserve">buggy rapide, fort impact sur les structures</t>
  </si>
  <si>
    <t xml:space="preserve">Flashbang</t>
  </si>
  <si>
    <t xml:space="preserve">Missile Squad</t>
  </si>
  <si>
    <t xml:space="preserve">envoyée contre les structures</t>
  </si>
  <si>
    <t xml:space="preserve">Missile Storm</t>
  </si>
  <si>
    <t xml:space="preserve">Predator</t>
  </si>
  <si>
    <t xml:space="preserve">char léger, contre les véhicules</t>
  </si>
  <si>
    <t xml:space="preserve">HEAT-MP-T</t>
  </si>
  <si>
    <t xml:space="preserve">Firehawk</t>
  </si>
  <si>
    <t xml:space="preserve">frappe aérienne rapide contre les structures</t>
  </si>
  <si>
    <t xml:space="preserve">Nano Tech</t>
  </si>
  <si>
    <t xml:space="preserve">Zone Troopers</t>
  </si>
  <si>
    <t xml:space="preserve">envoyés contre les véhicules ennemis</t>
  </si>
  <si>
    <t xml:space="preserve">Charge</t>
  </si>
  <si>
    <t xml:space="preserve">Commando</t>
  </si>
  <si>
    <t xml:space="preserve">infanterie endurante spécialisée structures</t>
  </si>
  <si>
    <t xml:space="preserve">Orca</t>
  </si>
  <si>
    <t xml:space="preserve">tueur d'infanterie volant</t>
  </si>
  <si>
    <t xml:space="preserve">EMP</t>
  </si>
  <si>
    <t xml:space="preserve">Juggernaut</t>
  </si>
  <si>
    <t xml:space="preserve">briseur de structures lent</t>
  </si>
  <si>
    <t xml:space="preserve">Barrage</t>
  </si>
  <si>
    <t xml:space="preserve">Sniper Team</t>
  </si>
  <si>
    <t xml:space="preserve">faible, mais surclasse l'infanterie en portée</t>
  </si>
  <si>
    <t xml:space="preserve">Laser Scope</t>
  </si>
  <si>
    <t xml:space="preserve">Mammoth</t>
  </si>
  <si>
    <t xml:space="preserve">char lourd, gros dégâts, contre les véhicules</t>
  </si>
  <si>
    <t xml:space="preserve">Battering Ram</t>
  </si>
  <si>
    <t xml:space="preserve">Kodiak</t>
  </si>
  <si>
    <t xml:space="preserve">briseur de structures</t>
  </si>
  <si>
    <t xml:space="preserve">Aegis Aura</t>
  </si>
  <si>
    <t xml:space="preserve">TA — onglet DÉFENSE</t>
  </si>
  <si>
    <t xml:space="preserve">Mur et nid de mitrailleuse n'apparaissent pas dans l'arbre : ils sont disponibles d'emblée.</t>
  </si>
  <si>
    <t xml:space="preserve">Défense</t>
  </si>
  <si>
    <t xml:space="preserve">Wall</t>
  </si>
  <si>
    <t xml:space="preserve">bloque, ne tire pas</t>
  </si>
  <si>
    <t xml:space="preserve">gratuit</t>
  </si>
  <si>
    <t xml:space="preserve">—</t>
  </si>
  <si>
    <t xml:space="preserve">MG Nest</t>
  </si>
  <si>
    <t xml:space="preserve">anti-infanterie de base, touche aussi le ciel</t>
  </si>
  <si>
    <t xml:space="preserve">chasseur de véhicules mobile</t>
  </si>
  <si>
    <t xml:space="preserve">infanterie anti-aérienne mobile</t>
  </si>
  <si>
    <t xml:space="preserve">Anti-Tank Barrier</t>
  </si>
  <si>
    <t xml:space="preserve">structure anti-véhicule, blesse au passage</t>
  </si>
  <si>
    <t xml:space="preserve">Repair Drones</t>
  </si>
  <si>
    <t xml:space="preserve">véhicule anti-infanterie rapide</t>
  </si>
  <si>
    <t xml:space="preserve">Guardian Cannon</t>
  </si>
  <si>
    <t xml:space="preserve">tourelle lourde spécialisée véhicules</t>
  </si>
  <si>
    <t xml:space="preserve">Garrison</t>
  </si>
  <si>
    <t xml:space="preserve">véhicule anti-aérien rapide</t>
  </si>
  <si>
    <t xml:space="preserve">Barbwire</t>
  </si>
  <si>
    <t xml:space="preserve">structure anti-infanterie, blesse infanterie et véhicules</t>
  </si>
  <si>
    <t xml:space="preserve">escouade anti-infanterie longue portée</t>
  </si>
  <si>
    <t xml:space="preserve">Flak</t>
  </si>
  <si>
    <t xml:space="preserve">tourelle lourde spécialisée aviation</t>
  </si>
  <si>
    <t xml:space="preserve">Guided Missiles</t>
  </si>
  <si>
    <t xml:space="preserve">Zone Trooper</t>
  </si>
  <si>
    <t xml:space="preserve">infanterie anti-véhicule mobile</t>
  </si>
  <si>
    <t xml:space="preserve">Watchtower</t>
  </si>
  <si>
    <t xml:space="preserve">artillerie anti-infanterie, portée minimale</t>
  </si>
  <si>
    <t xml:space="preserve">SR Arms</t>
  </si>
  <si>
    <t xml:space="preserve">Titan Artillery</t>
  </si>
  <si>
    <t xml:space="preserve">artillerie anti-véhicule, portée minimale</t>
  </si>
  <si>
    <t xml:space="preserve">SAM Site</t>
  </si>
  <si>
    <t xml:space="preserve">artillerie anti-aérienne, portée minimale</t>
  </si>
  <si>
    <t xml:space="preserve">TA — onglet SPÉCIAL</t>
  </si>
  <si>
    <t xml:space="preserve">Un seul soutien par base. Le VCM ouvre une base supplémentaire ; le second, à 1,2 trillion, correspond à la treizième.</t>
  </si>
  <si>
    <t xml:space="preserve">Recherche</t>
  </si>
  <si>
    <t xml:space="preserve">Rayon</t>
  </si>
  <si>
    <t xml:space="preserve">Ion Cannon Support</t>
  </si>
  <si>
    <t xml:space="preserve">soutien anti-véhicule, défend les bases alliées en alerte</t>
  </si>
  <si>
    <t xml:space="preserve">Falcon Support</t>
  </si>
  <si>
    <t xml:space="preserve">soutien anti-aérien, défend les bases alliées en alerte</t>
  </si>
  <si>
    <t xml:space="preserve">Skystrike Support</t>
  </si>
  <si>
    <t xml:space="preserve">soutien anti-infanterie — hors capture, estimé</t>
  </si>
  <si>
    <t xml:space="preserve">VCM (2e base)</t>
  </si>
  <si>
    <t xml:space="preserve">permet de fonder une seconde base</t>
  </si>
  <si>
    <t xml:space="preserve">VCM (13e base)</t>
  </si>
  <si>
    <t xml:space="preserve">base supplémentaire de fin de partie</t>
  </si>
  <si>
    <t xml:space="preserve">Foyer Zéro — arbre de recherche transposé</t>
  </si>
  <si>
    <t xml:space="preserve">Points de recherche seuls : les crédits n'existent pas. Les coûts reprennent la colonne « points de recherche » de TA. La colonne « à retenir » est libre — c'est là que tu corriges.</t>
  </si>
  <si>
    <t xml:space="preserve">Branche</t>
  </si>
  <si>
    <t xml:space="preserve">Nom Foyer Zéro</t>
  </si>
  <si>
    <t xml:space="preserve">Équivalent TA</t>
  </si>
  <si>
    <t xml:space="preserve">Coût TA
(pts recherche)</t>
  </si>
  <si>
    <t xml:space="preserve">À retenir</t>
  </si>
  <si>
    <t xml:space="preserve">Coût module
TA</t>
  </si>
  <si>
    <t xml:space="preserve">Offense</t>
  </si>
  <si>
    <t xml:space="preserve">Fusiliers</t>
  </si>
  <si>
    <t xml:space="preserve">Fumigène</t>
  </si>
  <si>
    <t xml:space="preserve">Éclaireur</t>
  </si>
  <si>
    <t xml:space="preserve">Garnison</t>
  </si>
  <si>
    <t xml:space="preserve">Épervier</t>
  </si>
  <si>
    <t xml:space="preserve">Pionnier</t>
  </si>
  <si>
    <t xml:space="preserve">Grenadiers</t>
  </si>
  <si>
    <t xml:space="preserve">Tir de barrage</t>
  </si>
  <si>
    <t xml:space="preserve">Chasseur</t>
  </si>
  <si>
    <t xml:space="preserve">Munition spéciale</t>
  </si>
  <si>
    <t xml:space="preserve">Foudre</t>
  </si>
  <si>
    <t xml:space="preserve">Camouflage</t>
  </si>
  <si>
    <t xml:space="preserve">Cuirassiers</t>
  </si>
  <si>
    <t xml:space="preserve">Booster</t>
  </si>
  <si>
    <t xml:space="preserve">Sapeurs</t>
  </si>
  <si>
    <t xml:space="preserve">Milan</t>
  </si>
  <si>
    <t xml:space="preserve">Obusier</t>
  </si>
  <si>
    <t xml:space="preserve">Voltigeurs</t>
  </si>
  <si>
    <t xml:space="preserve">Percheron</t>
  </si>
  <si>
    <t xml:space="preserve">Écraseur</t>
  </si>
  <si>
    <t xml:space="preserve">Albatros</t>
  </si>
  <si>
    <t xml:space="preserve">Bouclier</t>
  </si>
  <si>
    <t xml:space="preserve">Merlon</t>
  </si>
  <si>
    <t xml:space="preserve">Auto-réparation</t>
  </si>
  <si>
    <t xml:space="preserve">Casemate</t>
  </si>
  <si>
    <t xml:space="preserve">Chasseur (déf)</t>
  </si>
  <si>
    <t xml:space="preserve">Grenadiers (déf)</t>
  </si>
  <si>
    <t xml:space="preserve">Herse</t>
  </si>
  <si>
    <t xml:space="preserve">Éclaireur (déf)</t>
  </si>
  <si>
    <t xml:space="preserve">Créneau</t>
  </si>
  <si>
    <t xml:space="preserve">Pionnier (déf)</t>
  </si>
  <si>
    <t xml:space="preserve">Ronce</t>
  </si>
  <si>
    <t xml:space="preserve">Voltigeurs (déf)</t>
  </si>
  <si>
    <t xml:space="preserve">Batterie</t>
  </si>
  <si>
    <t xml:space="preserve">Cuirassiers (déf)</t>
  </si>
  <si>
    <t xml:space="preserve">Faucheuse</t>
  </si>
  <si>
    <t xml:space="preserve">Rayon mini −1</t>
  </si>
  <si>
    <t xml:space="preserve">Mortier</t>
  </si>
  <si>
    <t xml:space="preserve">Harpon</t>
  </si>
  <si>
    <t xml:space="preserve">Spécial</t>
  </si>
  <si>
    <t xml:space="preserve">Soutien anti-véh.</t>
  </si>
  <si>
    <t xml:space="preserve">Soutien anti-aérien</t>
  </si>
  <si>
    <t xml:space="preserve">Soutien anti-inf.</t>
  </si>
  <si>
    <t xml:space="preserve">Deuxième base</t>
  </si>
  <si>
    <t xml:space="preserve">VCM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</si>
</sst>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FCE4E4"/>
      </patternFill>
    </fill>
    <fill>
      <patternFill patternType="solid">
        <fgColor rgb="FF404040"/>
        <bgColor rgb="FF333300"/>
      </patternFill>
    </fill>
    <fill>
      <patternFill patternType="solid">
        <fgColor rgb="FFFCE4E4"/>
        <bgColor rgb="FFD9D9D9"/>
      </patternFill>
    </fill>
    <fill>
      <patternFill patternType="solid">
        <fgColor rgb="FFFFFF99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E4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/>
    </row>
    <row r="5" customFormat="false" ht="15" hidden="false" customHeight="false" outlineLevel="0" collapsed="false">
      <c r="B5" s="3" t="s">
        <v>1</v>
      </c>
    </row>
    <row r="6" customFormat="false" ht="15" hidden="false" customHeight="false" outlineLevel="0" collapsed="false">
      <c r="B6" s="2" t="s">
        <v>2</v>
      </c>
    </row>
    <row r="7" customFormat="false" ht="15" hidden="false" customHeight="false" outlineLevel="0" collapsed="false">
      <c r="B7" s="2" t="s">
        <v>3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4</v>
      </c>
    </row>
    <row r="10" customFormat="false" ht="15" hidden="false" customHeight="false" outlineLevel="0" collapsed="false">
      <c r="B10" s="2" t="s">
        <v>5</v>
      </c>
    </row>
    <row r="11" customFormat="false" ht="15" hidden="false" customHeight="false" outlineLevel="0" collapsed="false">
      <c r="B11" s="2" t="s">
        <v>6</v>
      </c>
    </row>
    <row r="12" customFormat="false" ht="15" hidden="false" customHeight="false" outlineLevel="0" collapsed="false">
      <c r="B12" s="2" t="s">
        <v>7</v>
      </c>
    </row>
    <row r="13" customFormat="false" ht="15" hidden="false" customHeight="false" outlineLevel="0" collapsed="false">
      <c r="B13" s="2" t="s">
        <v>8</v>
      </c>
    </row>
    <row r="14" customFormat="false" ht="15" hidden="false" customHeight="false" outlineLevel="0" collapsed="false">
      <c r="B14" s="2"/>
    </row>
    <row r="15" customFormat="false" ht="15" hidden="false" customHeight="false" outlineLevel="0" collapsed="false">
      <c r="B15" s="3" t="s">
        <v>9</v>
      </c>
    </row>
    <row r="16" customFormat="false" ht="15" hidden="false" customHeight="false" outlineLevel="0" collapsed="false">
      <c r="B16" s="2" t="s">
        <v>10</v>
      </c>
    </row>
    <row r="17" customFormat="false" ht="15" hidden="false" customHeight="false" outlineLevel="0" collapsed="false">
      <c r="B17" s="2" t="s">
        <v>11</v>
      </c>
    </row>
    <row r="18" customFormat="false" ht="15" hidden="false" customHeight="false" outlineLevel="0" collapsed="false">
      <c r="B18" s="2" t="s">
        <v>12</v>
      </c>
    </row>
    <row r="19" customFormat="false" ht="15" hidden="false" customHeight="false" outlineLevel="0" collapsed="false">
      <c r="B19" s="2" t="s">
        <v>13</v>
      </c>
    </row>
    <row r="20" customFormat="false" ht="15" hidden="false" customHeight="false" outlineLevel="0" collapsed="false">
      <c r="B20" s="2"/>
    </row>
    <row r="21" customFormat="false" ht="15" hidden="false" customHeight="false" outlineLevel="0" collapsed="false">
      <c r="B21" s="3" t="s">
        <v>14</v>
      </c>
    </row>
    <row r="22" customFormat="false" ht="15" hidden="false" customHeight="false" outlineLevel="0" collapsed="false">
      <c r="B22" s="2" t="s">
        <v>15</v>
      </c>
    </row>
    <row r="23" customFormat="false" ht="15" hidden="false" customHeight="false" outlineLevel="0" collapsed="false">
      <c r="B23" s="2" t="s">
        <v>16</v>
      </c>
    </row>
    <row r="24" customFormat="false" ht="15" hidden="false" customHeight="false" outlineLevel="0" collapsed="false">
      <c r="B24" s="2" t="s">
        <v>17</v>
      </c>
    </row>
    <row r="25" customFormat="false" ht="15" hidden="false" customHeight="false" outlineLevel="0" collapsed="false">
      <c r="B25" s="2"/>
    </row>
    <row r="26" customFormat="false" ht="15" hidden="false" customHeight="false" outlineLevel="0" collapsed="false">
      <c r="B26" s="3" t="s">
        <v>18</v>
      </c>
    </row>
    <row r="27" customFormat="false" ht="15" hidden="false" customHeight="false" outlineLevel="0" collapsed="false">
      <c r="B27" s="2" t="s">
        <v>19</v>
      </c>
    </row>
    <row r="28" customFormat="false" ht="15" hidden="false" customHeight="false" outlineLevel="0" collapsed="false">
      <c r="B28" s="2" t="s">
        <v>20</v>
      </c>
    </row>
    <row r="29" customFormat="false" ht="15" hidden="false" customHeight="false" outlineLevel="0" collapsed="false">
      <c r="B29" s="2" t="s">
        <v>21</v>
      </c>
    </row>
    <row r="30" customFormat="false" ht="15" hidden="false" customHeight="false" outlineLevel="0" collapsed="false">
      <c r="B30" s="2" t="s">
        <v>22</v>
      </c>
    </row>
    <row r="31" customFormat="false" ht="15" hidden="false" customHeight="false" outlineLevel="0" collapsed="false">
      <c r="B31" s="2"/>
    </row>
    <row r="32" customFormat="false" ht="15" hidden="false" customHeight="false" outlineLevel="0" collapsed="false">
      <c r="B32" s="3" t="s">
        <v>23</v>
      </c>
    </row>
    <row r="33" customFormat="false" ht="15" hidden="false" customHeight="false" outlineLevel="0" collapsed="false">
      <c r="B33" s="2" t="s">
        <v>24</v>
      </c>
    </row>
    <row r="34" customFormat="false" ht="15" hidden="false" customHeight="false" outlineLevel="0" collapsed="false">
      <c r="B34" s="2" t="s">
        <v>25</v>
      </c>
    </row>
    <row r="35" customFormat="false" ht="15" hidden="false" customHeight="false" outlineLevel="0" collapsed="false">
      <c r="B35" s="2" t="s">
        <v>26</v>
      </c>
    </row>
    <row r="36" customFormat="false" ht="15" hidden="false" customHeight="false" outlineLevel="0" collapsed="false">
      <c r="B36" s="2"/>
    </row>
    <row r="37" customFormat="false" ht="15" hidden="false" customHeight="false" outlineLevel="0" collapsed="false">
      <c r="B37" s="3" t="s">
        <v>27</v>
      </c>
    </row>
    <row r="38" customFormat="false" ht="15" hidden="false" customHeight="false" outlineLevel="0" collapsed="false">
      <c r="B38" s="2" t="s">
        <v>28</v>
      </c>
    </row>
    <row r="39" customFormat="false" ht="15" hidden="false" customHeight="false" outlineLevel="0" collapsed="false">
      <c r="B39" s="2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5"/>
    <col collapsed="false" customWidth="true" hidden="false" outlineLevel="0" max="3" min="3" style="0" width="40"/>
    <col collapsed="false" customWidth="true" hidden="false" outlineLevel="0" max="5" min="4" style="0" width="13"/>
    <col collapsed="false" customWidth="true" hidden="false" outlineLevel="0" max="6" min="6" style="0" width="7"/>
    <col collapsed="false" customWidth="true" hidden="false" outlineLevel="0" max="7" min="7" style="0" width="16"/>
    <col collapsed="false" customWidth="true" hidden="false" outlineLevel="0" max="9" min="8" style="0" width="13"/>
  </cols>
  <sheetData>
    <row r="1" customFormat="false" ht="17.35" hidden="false" customHeight="false" outlineLevel="0" collapsed="false">
      <c r="A1" s="1" t="s">
        <v>30</v>
      </c>
    </row>
    <row r="2" customFormat="false" ht="15" hidden="false" customHeight="false" outlineLevel="0" collapsed="false">
      <c r="A2" s="4" t="s">
        <v>31</v>
      </c>
    </row>
    <row r="4" customFormat="false" ht="30" hidden="false" customHeight="true" outlineLevel="0" collapsed="false">
      <c r="A4" s="5" t="s">
        <v>32</v>
      </c>
      <c r="B4" s="5" t="s">
        <v>33</v>
      </c>
      <c r="C4" s="5" t="s">
        <v>34</v>
      </c>
      <c r="D4" s="5" t="s">
        <v>35</v>
      </c>
      <c r="E4" s="5" t="s">
        <v>36</v>
      </c>
      <c r="F4" s="5" t="s">
        <v>37</v>
      </c>
      <c r="G4" s="5" t="s">
        <v>38</v>
      </c>
      <c r="H4" s="5" t="s">
        <v>39</v>
      </c>
      <c r="I4" s="5" t="s">
        <v>40</v>
      </c>
    </row>
    <row r="5" customFormat="false" ht="15" hidden="false" customHeight="false" outlineLevel="0" collapsed="false">
      <c r="A5" s="6" t="n">
        <v>1</v>
      </c>
      <c r="B5" s="6" t="s">
        <v>41</v>
      </c>
      <c r="C5" s="7" t="s">
        <v>42</v>
      </c>
      <c r="D5" s="8" t="n">
        <v>0</v>
      </c>
      <c r="E5" s="8" t="n">
        <v>0</v>
      </c>
      <c r="F5" s="9" t="str">
        <f aca="false">IFERROR(E5/D5,"—")</f>
        <v>—</v>
      </c>
      <c r="G5" s="6" t="s">
        <v>43</v>
      </c>
      <c r="H5" s="10" t="n">
        <v>5000000</v>
      </c>
      <c r="I5" s="10" t="n">
        <v>10000000</v>
      </c>
    </row>
    <row r="6" customFormat="false" ht="15" hidden="false" customHeight="false" outlineLevel="0" collapsed="false">
      <c r="A6" s="6" t="n">
        <v>2</v>
      </c>
      <c r="B6" s="6" t="s">
        <v>44</v>
      </c>
      <c r="C6" s="7" t="s">
        <v>45</v>
      </c>
      <c r="D6" s="8" t="n">
        <v>20000</v>
      </c>
      <c r="E6" s="8" t="n">
        <v>50000</v>
      </c>
      <c r="F6" s="9" t="n">
        <f aca="false">IFERROR(E6/D6,"—")</f>
        <v>2.5</v>
      </c>
      <c r="G6" s="6" t="s">
        <v>46</v>
      </c>
      <c r="H6" s="10" t="n">
        <v>30000000</v>
      </c>
      <c r="I6" s="10" t="n">
        <v>60000000</v>
      </c>
    </row>
    <row r="7" customFormat="false" ht="15" hidden="false" customHeight="false" outlineLevel="0" collapsed="false">
      <c r="A7" s="6" t="n">
        <v>3</v>
      </c>
      <c r="B7" s="6" t="s">
        <v>47</v>
      </c>
      <c r="C7" s="7" t="s">
        <v>48</v>
      </c>
      <c r="D7" s="8" t="n">
        <v>36000</v>
      </c>
      <c r="E7" s="8" t="n">
        <v>90000</v>
      </c>
      <c r="F7" s="9" t="n">
        <f aca="false">IFERROR(E7/D7,"—")</f>
        <v>2.5</v>
      </c>
      <c r="G7" s="6" t="s">
        <v>46</v>
      </c>
      <c r="H7" s="10" t="n">
        <v>270000000</v>
      </c>
      <c r="I7" s="10" t="n">
        <v>540000000</v>
      </c>
    </row>
    <row r="8" customFormat="false" ht="15" hidden="false" customHeight="false" outlineLevel="0" collapsed="false">
      <c r="A8" s="6" t="n">
        <v>4</v>
      </c>
      <c r="B8" s="6" t="s">
        <v>49</v>
      </c>
      <c r="C8" s="7" t="s">
        <v>50</v>
      </c>
      <c r="D8" s="8" t="n">
        <v>55000</v>
      </c>
      <c r="E8" s="8" t="n">
        <v>135000</v>
      </c>
      <c r="F8" s="9" t="n">
        <f aca="false">IFERROR(E8/D8,"—")</f>
        <v>2.45454545454545</v>
      </c>
      <c r="G8" s="6" t="s">
        <v>51</v>
      </c>
      <c r="H8" s="10" t="n">
        <v>40000000</v>
      </c>
      <c r="I8" s="10" t="n">
        <v>80000000</v>
      </c>
    </row>
    <row r="9" customFormat="false" ht="15" hidden="false" customHeight="false" outlineLevel="0" collapsed="false">
      <c r="A9" s="6" t="n">
        <v>5</v>
      </c>
      <c r="B9" s="6" t="s">
        <v>52</v>
      </c>
      <c r="C9" s="7" t="s">
        <v>53</v>
      </c>
      <c r="D9" s="10" t="n">
        <v>80000</v>
      </c>
      <c r="E9" s="10" t="n">
        <v>200000</v>
      </c>
      <c r="F9" s="9" t="n">
        <f aca="false">IFERROR(E9/D9,"—")</f>
        <v>2.5</v>
      </c>
      <c r="G9" s="6" t="s">
        <v>54</v>
      </c>
      <c r="H9" s="8" t="n">
        <v>60000000</v>
      </c>
      <c r="I9" s="8" t="n">
        <v>120000000</v>
      </c>
    </row>
    <row r="10" customFormat="false" ht="15" hidden="false" customHeight="false" outlineLevel="0" collapsed="false">
      <c r="A10" s="6" t="n">
        <v>6</v>
      </c>
      <c r="B10" s="6" t="s">
        <v>55</v>
      </c>
      <c r="C10" s="7" t="s">
        <v>56</v>
      </c>
      <c r="D10" s="10" t="n">
        <v>110000</v>
      </c>
      <c r="E10" s="10" t="n">
        <v>270000</v>
      </c>
      <c r="F10" s="9" t="n">
        <f aca="false">IFERROR(E10/D10,"—")</f>
        <v>2.45454545454545</v>
      </c>
      <c r="G10" s="6" t="s">
        <v>57</v>
      </c>
      <c r="H10" s="8" t="n">
        <v>90000000</v>
      </c>
      <c r="I10" s="8" t="n">
        <v>180000000</v>
      </c>
    </row>
    <row r="11" customFormat="false" ht="15" hidden="false" customHeight="false" outlineLevel="0" collapsed="false">
      <c r="A11" s="6" t="n">
        <v>7</v>
      </c>
      <c r="B11" s="6" t="s">
        <v>58</v>
      </c>
      <c r="C11" s="7" t="s">
        <v>59</v>
      </c>
      <c r="D11" s="10" t="n">
        <v>200000</v>
      </c>
      <c r="E11" s="10" t="n">
        <v>500000</v>
      </c>
      <c r="F11" s="9" t="n">
        <f aca="false">IFERROR(E11/D11,"—")</f>
        <v>2.5</v>
      </c>
      <c r="G11" s="6" t="s">
        <v>60</v>
      </c>
      <c r="H11" s="8" t="n">
        <v>135000000</v>
      </c>
      <c r="I11" s="8" t="n">
        <v>270000000</v>
      </c>
    </row>
    <row r="12" customFormat="false" ht="15" hidden="false" customHeight="false" outlineLevel="0" collapsed="false">
      <c r="A12" s="6" t="n">
        <v>8</v>
      </c>
      <c r="B12" s="6" t="s">
        <v>61</v>
      </c>
      <c r="C12" s="7" t="s">
        <v>62</v>
      </c>
      <c r="D12" s="10" t="n">
        <v>600000</v>
      </c>
      <c r="E12" s="10" t="n">
        <v>1500000</v>
      </c>
      <c r="F12" s="9" t="n">
        <f aca="false">IFERROR(E12/D12,"—")</f>
        <v>2.5</v>
      </c>
      <c r="G12" s="6" t="s">
        <v>63</v>
      </c>
      <c r="H12" s="8" t="n">
        <v>200000000</v>
      </c>
      <c r="I12" s="8" t="n">
        <v>400000000</v>
      </c>
    </row>
    <row r="13" customFormat="false" ht="15" hidden="false" customHeight="false" outlineLevel="0" collapsed="false">
      <c r="A13" s="6" t="n">
        <v>9</v>
      </c>
      <c r="B13" s="6" t="s">
        <v>64</v>
      </c>
      <c r="C13" s="7" t="s">
        <v>65</v>
      </c>
      <c r="D13" s="10" t="n">
        <v>2400000</v>
      </c>
      <c r="E13" s="10" t="n">
        <v>5800000</v>
      </c>
      <c r="F13" s="9" t="n">
        <f aca="false">IFERROR(E13/D13,"—")</f>
        <v>2.41666666666667</v>
      </c>
      <c r="G13" s="6" t="s">
        <v>63</v>
      </c>
      <c r="H13" s="8" t="n">
        <v>300000000</v>
      </c>
      <c r="I13" s="8" t="n">
        <v>600000000</v>
      </c>
    </row>
    <row r="14" customFormat="false" ht="15" hidden="false" customHeight="false" outlineLevel="0" collapsed="false">
      <c r="A14" s="6" t="n">
        <v>10</v>
      </c>
      <c r="B14" s="6" t="s">
        <v>66</v>
      </c>
      <c r="C14" s="7" t="s">
        <v>67</v>
      </c>
      <c r="D14" s="10" t="n">
        <v>4100000</v>
      </c>
      <c r="E14" s="10" t="n">
        <v>9850000</v>
      </c>
      <c r="F14" s="9" t="n">
        <f aca="false">IFERROR(E14/D14,"—")</f>
        <v>2.40243902439024</v>
      </c>
      <c r="G14" s="6" t="s">
        <v>68</v>
      </c>
      <c r="H14" s="8" t="n">
        <v>450000000</v>
      </c>
      <c r="I14" s="8" t="n">
        <v>900000000</v>
      </c>
    </row>
    <row r="15" customFormat="false" ht="15" hidden="false" customHeight="false" outlineLevel="0" collapsed="false">
      <c r="A15" s="6" t="n">
        <v>11</v>
      </c>
      <c r="B15" s="6" t="s">
        <v>69</v>
      </c>
      <c r="C15" s="7" t="s">
        <v>70</v>
      </c>
      <c r="D15" s="10" t="n">
        <v>8650000</v>
      </c>
      <c r="E15" s="10" t="n">
        <v>19600000</v>
      </c>
      <c r="F15" s="9" t="n">
        <f aca="false">IFERROR(E15/D15,"—")</f>
        <v>2.26589595375723</v>
      </c>
      <c r="G15" s="6" t="s">
        <v>71</v>
      </c>
      <c r="H15" s="8" t="n">
        <v>675000000</v>
      </c>
      <c r="I15" s="8" t="n">
        <v>1350000000</v>
      </c>
    </row>
    <row r="16" customFormat="false" ht="15" hidden="false" customHeight="false" outlineLevel="0" collapsed="false">
      <c r="A16" s="6" t="n">
        <v>12</v>
      </c>
      <c r="B16" s="6" t="s">
        <v>72</v>
      </c>
      <c r="C16" s="7" t="s">
        <v>73</v>
      </c>
      <c r="D16" s="10" t="n">
        <v>19000000</v>
      </c>
      <c r="E16" s="10" t="n">
        <v>42500000</v>
      </c>
      <c r="F16" s="9" t="n">
        <f aca="false">IFERROR(E16/D16,"—")</f>
        <v>2.23684210526316</v>
      </c>
      <c r="G16" s="6" t="s">
        <v>74</v>
      </c>
      <c r="H16" s="8" t="n">
        <v>1000000000</v>
      </c>
      <c r="I16" s="8" t="n">
        <v>2000000000</v>
      </c>
    </row>
    <row r="17" customFormat="false" ht="15" hidden="false" customHeight="false" outlineLevel="0" collapsed="false">
      <c r="A17" s="6" t="n">
        <v>13</v>
      </c>
      <c r="B17" s="6" t="s">
        <v>75</v>
      </c>
      <c r="C17" s="7" t="s">
        <v>76</v>
      </c>
      <c r="D17" s="10" t="n">
        <v>40000000</v>
      </c>
      <c r="E17" s="10" t="n">
        <v>100000000</v>
      </c>
      <c r="F17" s="9" t="n">
        <f aca="false">IFERROR(E17/D17,"—")</f>
        <v>2.5</v>
      </c>
      <c r="G17" s="6" t="s">
        <v>77</v>
      </c>
      <c r="H17" s="8" t="n">
        <v>1500000000</v>
      </c>
      <c r="I17" s="8" t="n">
        <v>3000000000</v>
      </c>
    </row>
    <row r="18" customFormat="false" ht="15" hidden="false" customHeight="false" outlineLevel="0" collapsed="false">
      <c r="A18" s="6" t="n">
        <v>14</v>
      </c>
      <c r="B18" s="6" t="s">
        <v>78</v>
      </c>
      <c r="C18" s="7" t="s">
        <v>79</v>
      </c>
      <c r="D18" s="10" t="n">
        <v>60000000</v>
      </c>
      <c r="E18" s="10" t="n">
        <v>120000000</v>
      </c>
      <c r="F18" s="9" t="n">
        <f aca="false">IFERROR(E18/D18,"—")</f>
        <v>2</v>
      </c>
      <c r="G18" s="6" t="s">
        <v>80</v>
      </c>
      <c r="H18" s="8" t="n">
        <v>2250000000</v>
      </c>
      <c r="I18" s="8" t="n">
        <v>4500000000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9"/>
    <col collapsed="false" customWidth="true" hidden="false" outlineLevel="0" max="3" min="3" style="0" width="42"/>
    <col collapsed="false" customWidth="true" hidden="false" outlineLevel="0" max="5" min="4" style="0" width="13"/>
    <col collapsed="false" customWidth="true" hidden="false" outlineLevel="0" max="6" min="6" style="0" width="7"/>
    <col collapsed="false" customWidth="true" hidden="false" outlineLevel="0" max="7" min="7" style="0" width="17"/>
  </cols>
  <sheetData>
    <row r="1" customFormat="false" ht="17.35" hidden="false" customHeight="false" outlineLevel="0" collapsed="false">
      <c r="A1" s="1" t="s">
        <v>81</v>
      </c>
    </row>
    <row r="2" customFormat="false" ht="15" hidden="false" customHeight="false" outlineLevel="0" collapsed="false">
      <c r="A2" s="4" t="s">
        <v>82</v>
      </c>
    </row>
    <row r="4" customFormat="false" ht="30" hidden="false" customHeight="true" outlineLevel="0" collapsed="false">
      <c r="A4" s="5" t="s">
        <v>32</v>
      </c>
      <c r="B4" s="5" t="s">
        <v>83</v>
      </c>
      <c r="C4" s="5" t="s">
        <v>34</v>
      </c>
      <c r="D4" s="5" t="s">
        <v>35</v>
      </c>
      <c r="E4" s="5" t="s">
        <v>36</v>
      </c>
      <c r="F4" s="5" t="s">
        <v>37</v>
      </c>
      <c r="G4" s="5" t="s">
        <v>38</v>
      </c>
    </row>
    <row r="5" customFormat="false" ht="15" hidden="false" customHeight="false" outlineLevel="0" collapsed="false">
      <c r="A5" s="6" t="n">
        <v>1</v>
      </c>
      <c r="B5" s="6" t="s">
        <v>84</v>
      </c>
      <c r="C5" s="7" t="s">
        <v>85</v>
      </c>
      <c r="D5" s="11" t="s">
        <v>86</v>
      </c>
      <c r="E5" s="11" t="s">
        <v>86</v>
      </c>
      <c r="F5" s="9" t="str">
        <f aca="false">IFERROR(E5/D5,"—")</f>
        <v>—</v>
      </c>
      <c r="G5" s="6" t="s">
        <v>87</v>
      </c>
    </row>
    <row r="6" customFormat="false" ht="15" hidden="false" customHeight="false" outlineLevel="0" collapsed="false">
      <c r="A6" s="6" t="n">
        <v>2</v>
      </c>
      <c r="B6" s="6" t="s">
        <v>88</v>
      </c>
      <c r="C6" s="7" t="s">
        <v>89</v>
      </c>
      <c r="D6" s="11" t="s">
        <v>86</v>
      </c>
      <c r="E6" s="11" t="s">
        <v>86</v>
      </c>
      <c r="F6" s="9" t="str">
        <f aca="false">IFERROR(E6/D6,"—")</f>
        <v>—</v>
      </c>
      <c r="G6" s="6" t="s">
        <v>87</v>
      </c>
    </row>
    <row r="7" customFormat="false" ht="15" hidden="false" customHeight="false" outlineLevel="0" collapsed="false">
      <c r="A7" s="6" t="n">
        <v>3</v>
      </c>
      <c r="B7" s="6" t="s">
        <v>55</v>
      </c>
      <c r="C7" s="7" t="s">
        <v>90</v>
      </c>
      <c r="D7" s="10" t="n">
        <v>55000</v>
      </c>
      <c r="E7" s="10" t="n">
        <v>135000</v>
      </c>
      <c r="F7" s="9" t="n">
        <f aca="false">IFERROR(E7/D7,"—")</f>
        <v>2.45454545454545</v>
      </c>
      <c r="G7" s="6" t="s">
        <v>57</v>
      </c>
    </row>
    <row r="8" customFormat="false" ht="15" hidden="false" customHeight="false" outlineLevel="0" collapsed="false">
      <c r="A8" s="6" t="n">
        <v>4</v>
      </c>
      <c r="B8" s="6" t="s">
        <v>52</v>
      </c>
      <c r="C8" s="7" t="s">
        <v>91</v>
      </c>
      <c r="D8" s="10" t="n">
        <v>70000</v>
      </c>
      <c r="E8" s="10" t="n">
        <v>170000</v>
      </c>
      <c r="F8" s="9" t="n">
        <f aca="false">IFERROR(E8/D8,"—")</f>
        <v>2.42857142857143</v>
      </c>
      <c r="G8" s="6" t="s">
        <v>54</v>
      </c>
    </row>
    <row r="9" customFormat="false" ht="15" hidden="false" customHeight="false" outlineLevel="0" collapsed="false">
      <c r="A9" s="6" t="n">
        <v>5</v>
      </c>
      <c r="B9" s="6" t="s">
        <v>92</v>
      </c>
      <c r="C9" s="7" t="s">
        <v>93</v>
      </c>
      <c r="D9" s="10" t="n">
        <v>80000</v>
      </c>
      <c r="E9" s="10" t="n">
        <v>200000</v>
      </c>
      <c r="F9" s="9" t="n">
        <f aca="false">IFERROR(E9/D9,"—")</f>
        <v>2.5</v>
      </c>
      <c r="G9" s="6" t="s">
        <v>94</v>
      </c>
    </row>
    <row r="10" customFormat="false" ht="15" hidden="false" customHeight="false" outlineLevel="0" collapsed="false">
      <c r="A10" s="6" t="n">
        <v>6</v>
      </c>
      <c r="B10" s="6" t="s">
        <v>44</v>
      </c>
      <c r="C10" s="7" t="s">
        <v>95</v>
      </c>
      <c r="D10" s="10" t="n">
        <v>100000</v>
      </c>
      <c r="E10" s="10" t="n">
        <v>250000</v>
      </c>
      <c r="F10" s="9" t="n">
        <f aca="false">IFERROR(E10/D10,"—")</f>
        <v>2.5</v>
      </c>
      <c r="G10" s="6" t="s">
        <v>46</v>
      </c>
    </row>
    <row r="11" customFormat="false" ht="15" hidden="false" customHeight="false" outlineLevel="0" collapsed="false">
      <c r="A11" s="6" t="n">
        <v>7</v>
      </c>
      <c r="B11" s="6" t="s">
        <v>96</v>
      </c>
      <c r="C11" s="7" t="s">
        <v>97</v>
      </c>
      <c r="D11" s="10" t="n">
        <v>125000</v>
      </c>
      <c r="E11" s="10" t="n">
        <v>320000</v>
      </c>
      <c r="F11" s="9" t="n">
        <f aca="false">IFERROR(E11/D11,"—")</f>
        <v>2.56</v>
      </c>
      <c r="G11" s="6" t="s">
        <v>98</v>
      </c>
    </row>
    <row r="12" customFormat="false" ht="15" hidden="false" customHeight="false" outlineLevel="0" collapsed="false">
      <c r="A12" s="6" t="n">
        <v>8</v>
      </c>
      <c r="B12" s="6" t="s">
        <v>49</v>
      </c>
      <c r="C12" s="7" t="s">
        <v>99</v>
      </c>
      <c r="D12" s="10" t="n">
        <v>380000</v>
      </c>
      <c r="E12" s="10" t="n">
        <v>940000</v>
      </c>
      <c r="F12" s="9" t="n">
        <f aca="false">IFERROR(E12/D12,"—")</f>
        <v>2.47368421052632</v>
      </c>
      <c r="G12" s="6" t="s">
        <v>51</v>
      </c>
    </row>
    <row r="13" customFormat="false" ht="15" hidden="false" customHeight="false" outlineLevel="0" collapsed="false">
      <c r="A13" s="6" t="n">
        <v>9</v>
      </c>
      <c r="B13" s="6" t="s">
        <v>100</v>
      </c>
      <c r="C13" s="7" t="s">
        <v>101</v>
      </c>
      <c r="D13" s="10" t="n">
        <v>920000</v>
      </c>
      <c r="E13" s="10" t="n">
        <v>2200000</v>
      </c>
      <c r="F13" s="9" t="n">
        <f aca="false">IFERROR(E13/D13,"—")</f>
        <v>2.39130434782609</v>
      </c>
      <c r="G13" s="6" t="s">
        <v>94</v>
      </c>
    </row>
    <row r="14" customFormat="false" ht="15" hidden="false" customHeight="false" outlineLevel="0" collapsed="false">
      <c r="A14" s="6" t="n">
        <v>10</v>
      </c>
      <c r="B14" s="6" t="s">
        <v>72</v>
      </c>
      <c r="C14" s="7" t="s">
        <v>102</v>
      </c>
      <c r="D14" s="10" t="n">
        <v>2600000</v>
      </c>
      <c r="E14" s="10" t="n">
        <v>6200000</v>
      </c>
      <c r="F14" s="9" t="n">
        <f aca="false">IFERROR(E14/D14,"—")</f>
        <v>2.38461538461538</v>
      </c>
      <c r="G14" s="6" t="s">
        <v>74</v>
      </c>
    </row>
    <row r="15" customFormat="false" ht="15" hidden="false" customHeight="false" outlineLevel="0" collapsed="false">
      <c r="A15" s="6" t="n">
        <v>11</v>
      </c>
      <c r="B15" s="6" t="s">
        <v>103</v>
      </c>
      <c r="C15" s="7" t="s">
        <v>104</v>
      </c>
      <c r="D15" s="10" t="n">
        <v>5400000</v>
      </c>
      <c r="E15" s="10" t="n">
        <v>12300000</v>
      </c>
      <c r="F15" s="9" t="n">
        <f aca="false">IFERROR(E15/D15,"—")</f>
        <v>2.27777777777778</v>
      </c>
      <c r="G15" s="6" t="s">
        <v>105</v>
      </c>
    </row>
    <row r="16" customFormat="false" ht="15" hidden="false" customHeight="false" outlineLevel="0" collapsed="false">
      <c r="A16" s="6" t="n">
        <v>12</v>
      </c>
      <c r="B16" s="6" t="s">
        <v>106</v>
      </c>
      <c r="C16" s="7" t="s">
        <v>107</v>
      </c>
      <c r="D16" s="10" t="n">
        <v>9500000</v>
      </c>
      <c r="E16" s="10" t="n">
        <v>21000000</v>
      </c>
      <c r="F16" s="9" t="n">
        <f aca="false">IFERROR(E16/D16,"—")</f>
        <v>2.21052631578947</v>
      </c>
      <c r="G16" s="6" t="s">
        <v>68</v>
      </c>
    </row>
    <row r="17" customFormat="false" ht="15" hidden="false" customHeight="false" outlineLevel="0" collapsed="false">
      <c r="A17" s="6" t="n">
        <v>13</v>
      </c>
      <c r="B17" s="6" t="s">
        <v>108</v>
      </c>
      <c r="C17" s="7" t="s">
        <v>109</v>
      </c>
      <c r="D17" s="10" t="n">
        <v>24000000</v>
      </c>
      <c r="E17" s="10" t="n">
        <v>48000000</v>
      </c>
      <c r="F17" s="9" t="n">
        <f aca="false">IFERROR(E17/D17,"—")</f>
        <v>2</v>
      </c>
      <c r="G17" s="6" t="s">
        <v>110</v>
      </c>
    </row>
    <row r="18" customFormat="false" ht="15" hidden="false" customHeight="false" outlineLevel="0" collapsed="false">
      <c r="A18" s="6" t="n">
        <v>14</v>
      </c>
      <c r="B18" s="6" t="s">
        <v>111</v>
      </c>
      <c r="C18" s="7" t="s">
        <v>112</v>
      </c>
      <c r="D18" s="10" t="n">
        <v>50000000</v>
      </c>
      <c r="E18" s="10" t="n">
        <v>120000000</v>
      </c>
      <c r="F18" s="9" t="n">
        <f aca="false">IFERROR(E18/D18,"—")</f>
        <v>2.4</v>
      </c>
      <c r="G18" s="6" t="s">
        <v>110</v>
      </c>
    </row>
    <row r="19" customFormat="false" ht="15" hidden="false" customHeight="false" outlineLevel="0" collapsed="false">
      <c r="A19" s="6" t="n">
        <v>15</v>
      </c>
      <c r="B19" s="6" t="s">
        <v>113</v>
      </c>
      <c r="C19" s="7" t="s">
        <v>114</v>
      </c>
      <c r="D19" s="10" t="n">
        <v>125000000</v>
      </c>
      <c r="E19" s="10" t="n">
        <v>300000000</v>
      </c>
      <c r="F19" s="9" t="n">
        <f aca="false">IFERROR(E19/D19,"—")</f>
        <v>2.4</v>
      </c>
      <c r="G19" s="6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  <col collapsed="false" customWidth="true" hidden="false" outlineLevel="0" max="4" min="3" style="0" width="15"/>
    <col collapsed="false" customWidth="true" hidden="false" outlineLevel="0" max="5" min="5" style="0" width="7"/>
    <col collapsed="false" customWidth="true" hidden="false" outlineLevel="0" max="6" min="6" style="0" width="9"/>
  </cols>
  <sheetData>
    <row r="1" customFormat="false" ht="17.35" hidden="false" customHeight="false" outlineLevel="0" collapsed="false">
      <c r="A1" s="1" t="s">
        <v>115</v>
      </c>
    </row>
    <row r="2" customFormat="false" ht="15" hidden="false" customHeight="false" outlineLevel="0" collapsed="false">
      <c r="A2" s="4" t="s">
        <v>116</v>
      </c>
    </row>
    <row r="4" customFormat="false" ht="30" hidden="false" customHeight="true" outlineLevel="0" collapsed="false">
      <c r="A4" s="5" t="s">
        <v>117</v>
      </c>
      <c r="B4" s="5" t="s">
        <v>34</v>
      </c>
      <c r="C4" s="5" t="s">
        <v>35</v>
      </c>
      <c r="D4" s="5" t="s">
        <v>36</v>
      </c>
      <c r="E4" s="5" t="s">
        <v>37</v>
      </c>
      <c r="F4" s="5" t="s">
        <v>118</v>
      </c>
    </row>
    <row r="5" customFormat="false" ht="15" hidden="false" customHeight="false" outlineLevel="0" collapsed="false">
      <c r="A5" s="6" t="s">
        <v>119</v>
      </c>
      <c r="B5" s="7" t="s">
        <v>120</v>
      </c>
      <c r="C5" s="10" t="n">
        <v>150000</v>
      </c>
      <c r="D5" s="10" t="n">
        <v>380000</v>
      </c>
      <c r="E5" s="9" t="n">
        <f aca="false">IFERROR(D5/C5,"—")</f>
        <v>2.53333333333333</v>
      </c>
      <c r="F5" s="6" t="n">
        <v>8</v>
      </c>
    </row>
    <row r="6" customFormat="false" ht="15" hidden="false" customHeight="false" outlineLevel="0" collapsed="false">
      <c r="A6" s="6" t="s">
        <v>121</v>
      </c>
      <c r="B6" s="7" t="s">
        <v>122</v>
      </c>
      <c r="C6" s="10" t="n">
        <v>460000</v>
      </c>
      <c r="D6" s="10" t="n">
        <v>1130000</v>
      </c>
      <c r="E6" s="9" t="n">
        <f aca="false">IFERROR(D6/C6,"—")</f>
        <v>2.45652173913043</v>
      </c>
      <c r="F6" s="6" t="n">
        <v>10</v>
      </c>
    </row>
    <row r="7" customFormat="false" ht="15" hidden="false" customHeight="false" outlineLevel="0" collapsed="false">
      <c r="A7" s="6" t="s">
        <v>123</v>
      </c>
      <c r="B7" s="7" t="s">
        <v>124</v>
      </c>
      <c r="C7" s="8" t="n">
        <v>1000000</v>
      </c>
      <c r="D7" s="8" t="n">
        <v>2500000</v>
      </c>
      <c r="E7" s="9" t="n">
        <f aca="false">IFERROR(D7/C7,"—")</f>
        <v>2.5</v>
      </c>
      <c r="F7" s="6" t="n">
        <v>12</v>
      </c>
    </row>
    <row r="8" customFormat="false" ht="15" hidden="false" customHeight="false" outlineLevel="0" collapsed="false">
      <c r="A8" s="6" t="s">
        <v>125</v>
      </c>
      <c r="B8" s="7" t="s">
        <v>126</v>
      </c>
      <c r="C8" s="10" t="n">
        <v>1800000</v>
      </c>
      <c r="D8" s="10" t="n">
        <v>1400000</v>
      </c>
      <c r="E8" s="9" t="n">
        <f aca="false">IFERROR(D8/C8,"—")</f>
        <v>0.777777777777778</v>
      </c>
      <c r="F8" s="6"/>
    </row>
    <row r="9" customFormat="false" ht="15" hidden="false" customHeight="false" outlineLevel="0" collapsed="false">
      <c r="A9" s="6" t="s">
        <v>127</v>
      </c>
      <c r="B9" s="7" t="s">
        <v>128</v>
      </c>
      <c r="C9" s="10" t="n">
        <v>2000000000000</v>
      </c>
      <c r="D9" s="10" t="n">
        <v>1200000000000</v>
      </c>
      <c r="E9" s="9" t="n">
        <f aca="false">IFERROR(D9/C9,"—")</f>
        <v>0.6</v>
      </c>
      <c r="F9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7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7"/>
    <col collapsed="false" customWidth="true" hidden="false" outlineLevel="0" max="7" min="7" style="0" width="15"/>
    <col collapsed="false" customWidth="true" hidden="false" outlineLevel="0" max="8" min="8" style="0" width="13"/>
  </cols>
  <sheetData>
    <row r="1" customFormat="false" ht="17.35" hidden="false" customHeight="false" outlineLevel="0" collapsed="false">
      <c r="A1" s="1" t="s">
        <v>129</v>
      </c>
    </row>
    <row r="2" customFormat="false" ht="25.5" hidden="false" customHeight="true" outlineLevel="0" collapsed="false">
      <c r="A2" s="12" t="s">
        <v>130</v>
      </c>
    </row>
    <row r="4" customFormat="false" ht="30" hidden="false" customHeight="true" outlineLevel="0" collapsed="false">
      <c r="A4" s="5" t="s">
        <v>131</v>
      </c>
      <c r="B4" s="5" t="s">
        <v>132</v>
      </c>
      <c r="C4" s="5" t="s">
        <v>133</v>
      </c>
      <c r="D4" s="5" t="s">
        <v>134</v>
      </c>
      <c r="E4" s="5" t="s">
        <v>135</v>
      </c>
      <c r="F4" s="5" t="s">
        <v>38</v>
      </c>
      <c r="G4" s="5" t="s">
        <v>136</v>
      </c>
      <c r="H4" s="5" t="s">
        <v>135</v>
      </c>
    </row>
    <row r="5" customFormat="false" ht="15" hidden="false" customHeight="false" outlineLevel="0" collapsed="false">
      <c r="A5" s="13" t="s">
        <v>137</v>
      </c>
      <c r="B5" s="14"/>
      <c r="C5" s="14"/>
      <c r="D5" s="14"/>
      <c r="E5" s="14"/>
      <c r="F5" s="14"/>
      <c r="G5" s="14"/>
      <c r="H5" s="14"/>
    </row>
    <row r="6" customFormat="false" ht="15" hidden="false" customHeight="false" outlineLevel="0" collapsed="false">
      <c r="A6" s="7" t="s">
        <v>137</v>
      </c>
      <c r="B6" s="6" t="s">
        <v>138</v>
      </c>
      <c r="C6" s="7" t="s">
        <v>41</v>
      </c>
      <c r="D6" s="10" t="n">
        <v>0</v>
      </c>
      <c r="E6" s="15"/>
      <c r="F6" s="6" t="s">
        <v>139</v>
      </c>
      <c r="G6" s="10" t="n">
        <v>10000000</v>
      </c>
      <c r="H6" s="15"/>
    </row>
    <row r="7" customFormat="false" ht="15" hidden="false" customHeight="false" outlineLevel="0" collapsed="false">
      <c r="A7" s="7" t="s">
        <v>137</v>
      </c>
      <c r="B7" s="6" t="s">
        <v>140</v>
      </c>
      <c r="C7" s="7" t="s">
        <v>44</v>
      </c>
      <c r="D7" s="10" t="n">
        <v>50000</v>
      </c>
      <c r="E7" s="15"/>
      <c r="F7" s="6" t="s">
        <v>141</v>
      </c>
      <c r="G7" s="10" t="n">
        <v>60000000</v>
      </c>
      <c r="H7" s="15"/>
    </row>
    <row r="8" customFormat="false" ht="15" hidden="false" customHeight="false" outlineLevel="0" collapsed="false">
      <c r="A8" s="7" t="s">
        <v>137</v>
      </c>
      <c r="B8" s="6" t="s">
        <v>142</v>
      </c>
      <c r="C8" s="7" t="s">
        <v>47</v>
      </c>
      <c r="D8" s="10" t="n">
        <v>90000</v>
      </c>
      <c r="E8" s="15"/>
      <c r="F8" s="6" t="s">
        <v>141</v>
      </c>
      <c r="G8" s="10" t="n">
        <v>540000000</v>
      </c>
      <c r="H8" s="15"/>
    </row>
    <row r="9" customFormat="false" ht="15" hidden="false" customHeight="false" outlineLevel="0" collapsed="false">
      <c r="A9" s="7" t="s">
        <v>137</v>
      </c>
      <c r="B9" s="6" t="s">
        <v>143</v>
      </c>
      <c r="C9" s="7" t="s">
        <v>49</v>
      </c>
      <c r="D9" s="10" t="n">
        <v>135000</v>
      </c>
      <c r="E9" s="15"/>
      <c r="F9" s="6" t="s">
        <v>139</v>
      </c>
      <c r="G9" s="10" t="n">
        <v>80000000</v>
      </c>
      <c r="H9" s="15"/>
    </row>
    <row r="10" customFormat="false" ht="15" hidden="false" customHeight="false" outlineLevel="0" collapsed="false">
      <c r="A10" s="7" t="s">
        <v>137</v>
      </c>
      <c r="B10" s="6" t="s">
        <v>144</v>
      </c>
      <c r="C10" s="7" t="s">
        <v>52</v>
      </c>
      <c r="D10" s="10" t="n">
        <v>200000</v>
      </c>
      <c r="E10" s="15"/>
      <c r="F10" s="6" t="s">
        <v>145</v>
      </c>
      <c r="G10" s="10" t="n">
        <v>120000000</v>
      </c>
      <c r="H10" s="15"/>
    </row>
    <row r="11" customFormat="false" ht="15" hidden="false" customHeight="false" outlineLevel="0" collapsed="false">
      <c r="A11" s="7" t="s">
        <v>137</v>
      </c>
      <c r="B11" s="6" t="s">
        <v>146</v>
      </c>
      <c r="C11" s="7" t="s">
        <v>55</v>
      </c>
      <c r="D11" s="10" t="n">
        <v>270000</v>
      </c>
      <c r="E11" s="15"/>
      <c r="F11" s="6" t="s">
        <v>147</v>
      </c>
      <c r="G11" s="10" t="n">
        <v>180000000</v>
      </c>
      <c r="H11" s="15"/>
    </row>
    <row r="12" customFormat="false" ht="15" hidden="false" customHeight="false" outlineLevel="0" collapsed="false">
      <c r="A12" s="7" t="s">
        <v>137</v>
      </c>
      <c r="B12" s="6" t="s">
        <v>148</v>
      </c>
      <c r="C12" s="7" t="s">
        <v>58</v>
      </c>
      <c r="D12" s="10" t="n">
        <v>500000</v>
      </c>
      <c r="E12" s="15"/>
      <c r="F12" s="6" t="s">
        <v>149</v>
      </c>
      <c r="G12" s="10" t="n">
        <v>270000000</v>
      </c>
      <c r="H12" s="15"/>
    </row>
    <row r="13" customFormat="false" ht="15" hidden="false" customHeight="false" outlineLevel="0" collapsed="false">
      <c r="A13" s="7" t="s">
        <v>137</v>
      </c>
      <c r="B13" s="6" t="s">
        <v>150</v>
      </c>
      <c r="C13" s="7" t="s">
        <v>61</v>
      </c>
      <c r="D13" s="10" t="n">
        <v>1500000</v>
      </c>
      <c r="E13" s="15"/>
      <c r="F13" s="6" t="s">
        <v>151</v>
      </c>
      <c r="G13" s="10" t="n">
        <v>400000000</v>
      </c>
      <c r="H13" s="15"/>
    </row>
    <row r="14" customFormat="false" ht="15" hidden="false" customHeight="false" outlineLevel="0" collapsed="false">
      <c r="A14" s="7" t="s">
        <v>137</v>
      </c>
      <c r="B14" s="6" t="s">
        <v>152</v>
      </c>
      <c r="C14" s="7" t="s">
        <v>64</v>
      </c>
      <c r="D14" s="10" t="n">
        <v>5800000</v>
      </c>
      <c r="E14" s="15"/>
      <c r="F14" s="6" t="s">
        <v>151</v>
      </c>
      <c r="G14" s="10" t="n">
        <v>600000000</v>
      </c>
      <c r="H14" s="15"/>
    </row>
    <row r="15" customFormat="false" ht="15" hidden="false" customHeight="false" outlineLevel="0" collapsed="false">
      <c r="A15" s="7" t="s">
        <v>137</v>
      </c>
      <c r="B15" s="6" t="s">
        <v>153</v>
      </c>
      <c r="C15" s="7" t="s">
        <v>66</v>
      </c>
      <c r="D15" s="10" t="n">
        <v>9850000</v>
      </c>
      <c r="E15" s="15"/>
      <c r="F15" s="6" t="s">
        <v>68</v>
      </c>
      <c r="G15" s="10" t="n">
        <v>900000000</v>
      </c>
      <c r="H15" s="15"/>
    </row>
    <row r="16" customFormat="false" ht="15" hidden="false" customHeight="false" outlineLevel="0" collapsed="false">
      <c r="A16" s="7" t="s">
        <v>137</v>
      </c>
      <c r="B16" s="6" t="s">
        <v>154</v>
      </c>
      <c r="C16" s="7" t="s">
        <v>69</v>
      </c>
      <c r="D16" s="10" t="n">
        <v>19600000</v>
      </c>
      <c r="E16" s="15"/>
      <c r="F16" s="6" t="s">
        <v>145</v>
      </c>
      <c r="G16" s="10" t="n">
        <v>1350000000</v>
      </c>
      <c r="H16" s="15"/>
    </row>
    <row r="17" customFormat="false" ht="15" hidden="false" customHeight="false" outlineLevel="0" collapsed="false">
      <c r="A17" s="7" t="s">
        <v>137</v>
      </c>
      <c r="B17" s="6" t="s">
        <v>155</v>
      </c>
      <c r="C17" s="7" t="s">
        <v>72</v>
      </c>
      <c r="D17" s="10" t="n">
        <v>42500000</v>
      </c>
      <c r="E17" s="15"/>
      <c r="F17" s="6" t="s">
        <v>149</v>
      </c>
      <c r="G17" s="10" t="n">
        <v>2000000000</v>
      </c>
      <c r="H17" s="15"/>
    </row>
    <row r="18" customFormat="false" ht="15" hidden="false" customHeight="false" outlineLevel="0" collapsed="false">
      <c r="A18" s="7" t="s">
        <v>137</v>
      </c>
      <c r="B18" s="6" t="s">
        <v>156</v>
      </c>
      <c r="C18" s="7" t="s">
        <v>75</v>
      </c>
      <c r="D18" s="10" t="n">
        <v>100000000</v>
      </c>
      <c r="E18" s="15"/>
      <c r="F18" s="6" t="s">
        <v>157</v>
      </c>
      <c r="G18" s="10" t="n">
        <v>3000000000</v>
      </c>
      <c r="H18" s="15"/>
    </row>
    <row r="19" customFormat="false" ht="15" hidden="false" customHeight="false" outlineLevel="0" collapsed="false">
      <c r="A19" s="7" t="s">
        <v>137</v>
      </c>
      <c r="B19" s="6" t="s">
        <v>158</v>
      </c>
      <c r="C19" s="7" t="s">
        <v>78</v>
      </c>
      <c r="D19" s="10" t="n">
        <v>120000000</v>
      </c>
      <c r="E19" s="15"/>
      <c r="F19" s="6" t="s">
        <v>159</v>
      </c>
      <c r="G19" s="10" t="n">
        <v>4500000000</v>
      </c>
      <c r="H19" s="15"/>
    </row>
    <row r="20" customFormat="false" ht="15" hidden="false" customHeight="false" outlineLevel="0" collapsed="false">
      <c r="A20" s="13" t="s">
        <v>83</v>
      </c>
      <c r="B20" s="14"/>
      <c r="C20" s="14"/>
      <c r="D20" s="14"/>
      <c r="E20" s="14"/>
      <c r="F20" s="14"/>
      <c r="G20" s="14"/>
      <c r="H20" s="14"/>
    </row>
    <row r="21" customFormat="false" ht="15" hidden="false" customHeight="false" outlineLevel="0" collapsed="false">
      <c r="A21" s="7" t="s">
        <v>83</v>
      </c>
      <c r="B21" s="6" t="s">
        <v>160</v>
      </c>
      <c r="C21" s="7" t="s">
        <v>84</v>
      </c>
      <c r="D21" s="10" t="n">
        <v>0</v>
      </c>
      <c r="E21" s="15"/>
      <c r="F21" s="6" t="s">
        <v>161</v>
      </c>
      <c r="G21" s="10"/>
      <c r="H21" s="15"/>
    </row>
    <row r="22" customFormat="false" ht="15" hidden="false" customHeight="false" outlineLevel="0" collapsed="false">
      <c r="A22" s="7" t="s">
        <v>83</v>
      </c>
      <c r="B22" s="6" t="s">
        <v>162</v>
      </c>
      <c r="C22" s="7" t="s">
        <v>88</v>
      </c>
      <c r="D22" s="10" t="n">
        <v>0</v>
      </c>
      <c r="E22" s="15"/>
      <c r="F22" s="6" t="s">
        <v>161</v>
      </c>
      <c r="G22" s="10"/>
      <c r="H22" s="15"/>
    </row>
    <row r="23" customFormat="false" ht="15" hidden="false" customHeight="false" outlineLevel="0" collapsed="false">
      <c r="A23" s="7" t="s">
        <v>83</v>
      </c>
      <c r="B23" s="6" t="s">
        <v>163</v>
      </c>
      <c r="C23" s="7" t="s">
        <v>55</v>
      </c>
      <c r="D23" s="10" t="n">
        <v>135000</v>
      </c>
      <c r="E23" s="15"/>
      <c r="F23" s="6" t="s">
        <v>147</v>
      </c>
      <c r="G23" s="10"/>
      <c r="H23" s="15"/>
    </row>
    <row r="24" customFormat="false" ht="15" hidden="false" customHeight="false" outlineLevel="0" collapsed="false">
      <c r="A24" s="7" t="s">
        <v>83</v>
      </c>
      <c r="B24" s="6" t="s">
        <v>164</v>
      </c>
      <c r="C24" s="7" t="s">
        <v>52</v>
      </c>
      <c r="D24" s="10" t="n">
        <v>170000</v>
      </c>
      <c r="E24" s="15"/>
      <c r="F24" s="6" t="s">
        <v>145</v>
      </c>
      <c r="G24" s="10"/>
      <c r="H24" s="15"/>
    </row>
    <row r="25" customFormat="false" ht="15" hidden="false" customHeight="false" outlineLevel="0" collapsed="false">
      <c r="A25" s="7" t="s">
        <v>83</v>
      </c>
      <c r="B25" s="6" t="s">
        <v>165</v>
      </c>
      <c r="C25" s="7" t="s">
        <v>92</v>
      </c>
      <c r="D25" s="10" t="n">
        <v>200000</v>
      </c>
      <c r="E25" s="15"/>
      <c r="F25" s="6" t="s">
        <v>161</v>
      </c>
      <c r="G25" s="10"/>
      <c r="H25" s="15"/>
    </row>
    <row r="26" customFormat="false" ht="15" hidden="false" customHeight="false" outlineLevel="0" collapsed="false">
      <c r="A26" s="7" t="s">
        <v>83</v>
      </c>
      <c r="B26" s="6" t="s">
        <v>166</v>
      </c>
      <c r="C26" s="7" t="s">
        <v>44</v>
      </c>
      <c r="D26" s="10" t="n">
        <v>250000</v>
      </c>
      <c r="E26" s="15"/>
      <c r="F26" s="6" t="s">
        <v>141</v>
      </c>
      <c r="G26" s="10"/>
      <c r="H26" s="15"/>
    </row>
    <row r="27" customFormat="false" ht="15" hidden="false" customHeight="false" outlineLevel="0" collapsed="false">
      <c r="A27" s="7" t="s">
        <v>83</v>
      </c>
      <c r="B27" s="6" t="s">
        <v>167</v>
      </c>
      <c r="C27" s="7" t="s">
        <v>96</v>
      </c>
      <c r="D27" s="10" t="n">
        <v>320000</v>
      </c>
      <c r="E27" s="15"/>
      <c r="F27" s="6" t="s">
        <v>141</v>
      </c>
      <c r="G27" s="10"/>
      <c r="H27" s="15"/>
    </row>
    <row r="28" customFormat="false" ht="15" hidden="false" customHeight="false" outlineLevel="0" collapsed="false">
      <c r="A28" s="7" t="s">
        <v>83</v>
      </c>
      <c r="B28" s="6" t="s">
        <v>168</v>
      </c>
      <c r="C28" s="7" t="s">
        <v>49</v>
      </c>
      <c r="D28" s="10" t="n">
        <v>940000</v>
      </c>
      <c r="E28" s="15"/>
      <c r="F28" s="6" t="s">
        <v>139</v>
      </c>
      <c r="G28" s="10"/>
      <c r="H28" s="15"/>
    </row>
    <row r="29" customFormat="false" ht="15" hidden="false" customHeight="false" outlineLevel="0" collapsed="false">
      <c r="A29" s="7" t="s">
        <v>83</v>
      </c>
      <c r="B29" s="6" t="s">
        <v>169</v>
      </c>
      <c r="C29" s="7" t="s">
        <v>100</v>
      </c>
      <c r="D29" s="10" t="n">
        <v>2200000</v>
      </c>
      <c r="E29" s="15"/>
      <c r="F29" s="6" t="s">
        <v>161</v>
      </c>
      <c r="G29" s="10"/>
      <c r="H29" s="15"/>
    </row>
    <row r="30" customFormat="false" ht="15" hidden="false" customHeight="false" outlineLevel="0" collapsed="false">
      <c r="A30" s="7" t="s">
        <v>83</v>
      </c>
      <c r="B30" s="6" t="s">
        <v>170</v>
      </c>
      <c r="C30" s="7" t="s">
        <v>72</v>
      </c>
      <c r="D30" s="10" t="n">
        <v>6200000</v>
      </c>
      <c r="E30" s="15"/>
      <c r="F30" s="6" t="s">
        <v>149</v>
      </c>
      <c r="G30" s="10"/>
      <c r="H30" s="15"/>
    </row>
    <row r="31" customFormat="false" ht="15" hidden="false" customHeight="false" outlineLevel="0" collapsed="false">
      <c r="A31" s="7" t="s">
        <v>83</v>
      </c>
      <c r="B31" s="6" t="s">
        <v>171</v>
      </c>
      <c r="C31" s="7" t="s">
        <v>103</v>
      </c>
      <c r="D31" s="10" t="n">
        <v>12300000</v>
      </c>
      <c r="E31" s="15"/>
      <c r="F31" s="6" t="s">
        <v>147</v>
      </c>
      <c r="G31" s="10"/>
      <c r="H31" s="15"/>
    </row>
    <row r="32" customFormat="false" ht="15" hidden="false" customHeight="false" outlineLevel="0" collapsed="false">
      <c r="A32" s="7" t="s">
        <v>83</v>
      </c>
      <c r="B32" s="6" t="s">
        <v>172</v>
      </c>
      <c r="C32" s="7" t="s">
        <v>106</v>
      </c>
      <c r="D32" s="10" t="n">
        <v>21000000</v>
      </c>
      <c r="E32" s="15"/>
      <c r="F32" s="6" t="s">
        <v>68</v>
      </c>
      <c r="G32" s="10"/>
      <c r="H32" s="15"/>
    </row>
    <row r="33" customFormat="false" ht="15" hidden="false" customHeight="false" outlineLevel="0" collapsed="false">
      <c r="A33" s="7" t="s">
        <v>83</v>
      </c>
      <c r="B33" s="6" t="s">
        <v>173</v>
      </c>
      <c r="C33" s="7" t="s">
        <v>108</v>
      </c>
      <c r="D33" s="10" t="n">
        <v>48000000</v>
      </c>
      <c r="E33" s="15"/>
      <c r="F33" s="6" t="s">
        <v>174</v>
      </c>
      <c r="G33" s="10"/>
      <c r="H33" s="15"/>
    </row>
    <row r="34" customFormat="false" ht="15" hidden="false" customHeight="false" outlineLevel="0" collapsed="false">
      <c r="A34" s="7" t="s">
        <v>83</v>
      </c>
      <c r="B34" s="6" t="s">
        <v>175</v>
      </c>
      <c r="C34" s="7" t="s">
        <v>111</v>
      </c>
      <c r="D34" s="10" t="n">
        <v>120000000</v>
      </c>
      <c r="E34" s="15"/>
      <c r="F34" s="6" t="s">
        <v>174</v>
      </c>
      <c r="G34" s="10"/>
      <c r="H34" s="15"/>
    </row>
    <row r="35" customFormat="false" ht="15" hidden="false" customHeight="false" outlineLevel="0" collapsed="false">
      <c r="A35" s="7" t="s">
        <v>83</v>
      </c>
      <c r="B35" s="6" t="s">
        <v>176</v>
      </c>
      <c r="C35" s="7" t="s">
        <v>113</v>
      </c>
      <c r="D35" s="10" t="n">
        <v>300000000</v>
      </c>
      <c r="E35" s="15"/>
      <c r="F35" s="6" t="s">
        <v>174</v>
      </c>
      <c r="G35" s="10"/>
      <c r="H35" s="15"/>
    </row>
    <row r="36" customFormat="false" ht="15" hidden="false" customHeight="false" outlineLevel="0" collapsed="false">
      <c r="A36" s="13" t="s">
        <v>177</v>
      </c>
      <c r="B36" s="14"/>
      <c r="C36" s="14"/>
      <c r="D36" s="14"/>
      <c r="E36" s="14"/>
      <c r="F36" s="14"/>
      <c r="G36" s="14"/>
      <c r="H36" s="14"/>
    </row>
    <row r="37" customFormat="false" ht="15" hidden="false" customHeight="false" outlineLevel="0" collapsed="false">
      <c r="A37" s="7" t="s">
        <v>177</v>
      </c>
      <c r="B37" s="6" t="s">
        <v>178</v>
      </c>
      <c r="C37" s="7" t="s">
        <v>119</v>
      </c>
      <c r="D37" s="10" t="n">
        <v>380000</v>
      </c>
      <c r="E37" s="15"/>
      <c r="F37" s="6" t="s">
        <v>87</v>
      </c>
      <c r="G37" s="10"/>
      <c r="H37" s="15"/>
    </row>
    <row r="38" customFormat="false" ht="15" hidden="false" customHeight="false" outlineLevel="0" collapsed="false">
      <c r="A38" s="7" t="s">
        <v>177</v>
      </c>
      <c r="B38" s="6" t="s">
        <v>179</v>
      </c>
      <c r="C38" s="7" t="s">
        <v>121</v>
      </c>
      <c r="D38" s="10" t="n">
        <v>1130000</v>
      </c>
      <c r="E38" s="15"/>
      <c r="F38" s="6" t="s">
        <v>87</v>
      </c>
      <c r="G38" s="10"/>
      <c r="H38" s="15"/>
    </row>
    <row r="39" customFormat="false" ht="15" hidden="false" customHeight="false" outlineLevel="0" collapsed="false">
      <c r="A39" s="7" t="s">
        <v>177</v>
      </c>
      <c r="B39" s="6" t="s">
        <v>180</v>
      </c>
      <c r="C39" s="7" t="s">
        <v>123</v>
      </c>
      <c r="D39" s="10" t="n">
        <v>2500000</v>
      </c>
      <c r="E39" s="15"/>
      <c r="F39" s="6" t="s">
        <v>87</v>
      </c>
      <c r="G39" s="10"/>
      <c r="H39" s="15"/>
    </row>
    <row r="40" customFormat="false" ht="15" hidden="false" customHeight="false" outlineLevel="0" collapsed="false">
      <c r="A40" s="7" t="s">
        <v>177</v>
      </c>
      <c r="B40" s="6" t="s">
        <v>181</v>
      </c>
      <c r="C40" s="7" t="s">
        <v>182</v>
      </c>
      <c r="D40" s="10" t="n">
        <v>1400000</v>
      </c>
      <c r="E40" s="15"/>
      <c r="F40" s="6" t="s">
        <v>87</v>
      </c>
      <c r="G40" s="10"/>
      <c r="H40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2026-08-23T22:10:18Z</dcterms:created>
  <dc:creator>openpyxl</dc:creator>
  <dc:description/>
  <dc:language>en-US</dc:language>
  <cp:lastModifiedBy/>
  <dcterms:modified xsi:type="dcterms:W3CDTF">2026-08-23T22:10:18Z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