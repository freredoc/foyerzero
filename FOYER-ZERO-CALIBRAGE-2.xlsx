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E76FF97C-F82B-0048-B7DE-DB9ADEF8DF26}" xr6:coauthVersionLast="47" xr6:coauthVersionMax="47" xr10:uidLastSave="{00000000-0000-0000-0000-000000000000}"/>
  <bookViews>
    <workbookView xWindow="0" yWindow="0" windowWidth="16384" windowHeight="8192" tabRatio="500" activeTab="6" xr2:uid="{00000000-000D-0000-FFFF-FFFF00000000}"/>
  </bookViews>
  <sheets>
    <sheet name="LISEZ-MOI" sheetId="1" r:id="rId1"/>
    <sheet name="GRILLE" sheetId="2" r:id="rId2"/>
    <sheet name="UNITES" sheetId="3" r:id="rId3"/>
    <sheet name="CIBLAGE-DEFENSE" sheetId="4" r:id="rId4"/>
    <sheet name="DEFENSES" sheetId="5" r:id="rId5"/>
    <sheet name="SITES-BATIMENTS" sheetId="6" r:id="rId6"/>
    <sheet name="SITES-DENSITE" sheetId="7" r:id="rId7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4" i="7" l="1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5" i="7"/>
  <c r="F13" i="6"/>
  <c r="E13" i="6"/>
  <c r="D13" i="6"/>
  <c r="L8" i="6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21" i="7"/>
  <c r="G22" i="7"/>
  <c r="G23" i="7"/>
  <c r="G24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K9" i="6"/>
  <c r="L9" i="6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F12" i="6"/>
  <c r="E12" i="6"/>
  <c r="D12" i="6"/>
  <c r="L11" i="6"/>
  <c r="K11" i="6"/>
  <c r="L10" i="6"/>
  <c r="K10" i="6"/>
  <c r="K8" i="6"/>
  <c r="L7" i="6"/>
  <c r="K7" i="6"/>
  <c r="L6" i="6"/>
  <c r="K6" i="6"/>
  <c r="O20" i="3"/>
  <c r="K20" i="3"/>
  <c r="O18" i="3"/>
  <c r="K18" i="3"/>
  <c r="O17" i="3"/>
  <c r="K17" i="3"/>
  <c r="O16" i="3"/>
  <c r="K16" i="3"/>
  <c r="O15" i="3"/>
  <c r="K15" i="3"/>
  <c r="O14" i="3"/>
  <c r="K14" i="3"/>
  <c r="O13" i="3"/>
  <c r="K13" i="3"/>
  <c r="O12" i="3"/>
  <c r="K12" i="3"/>
  <c r="O11" i="3"/>
  <c r="K11" i="3"/>
  <c r="O10" i="3"/>
  <c r="K10" i="3"/>
  <c r="O9" i="3"/>
  <c r="K9" i="3"/>
  <c r="O8" i="3"/>
  <c r="K8" i="3"/>
  <c r="O7" i="3"/>
  <c r="K7" i="3"/>
  <c r="O6" i="3"/>
  <c r="K6" i="3"/>
  <c r="O5" i="3"/>
  <c r="K5" i="3"/>
  <c r="B8" i="2"/>
</calcChain>
</file>

<file path=xl/sharedStrings.xml><?xml version="1.0" encoding="utf-8"?>
<sst xmlns="http://schemas.openxmlformats.org/spreadsheetml/2006/main" count="473" uniqueCount="271">
  <si>
    <t>Foyer Zéro — classeur de calibrage</t>
  </si>
  <si>
    <t>À quoi sert ce classeur</t>
  </si>
  <si>
    <t>Il contient les chiffres que la source TA ne donne pas et qu'il faut fixer nous-mêmes.</t>
  </si>
  <si>
    <t>Tant qu'ils sont vides, le prototype de combat n'est pas codable.</t>
  </si>
  <si>
    <t>Comment le remplir</t>
  </si>
  <si>
    <t>Les cellules à FOND JAUNE sont à remplir. Tout le reste est calculé ou informatif.</t>
  </si>
  <si>
    <t>Le TEXTE GRIS ITALIQUE rappelle la valeur TA correspondante, quand elle est connue — c'est un</t>
  </si>
  <si>
    <t>repère, pas une consigne. Rien n'oblige à la reprendre.</t>
  </si>
  <si>
    <t>La première ligne de données de chaque feuille est un EXEMPLE, en gris, à écraser ou supprimer.</t>
  </si>
  <si>
    <t>Les colonnes noires sont des formules : ne pas y écrire, elles se recalculent.</t>
  </si>
  <si>
    <t>Ordre conseillé</t>
  </si>
  <si>
    <t>1. GRILLE — quelques constantes, tout le reste en dépend</t>
  </si>
  <si>
    <t>2. UNITES — le gros du travail, 16 lignes</t>
  </si>
  <si>
    <t>3. DEFENSES — 7 structures</t>
  </si>
  <si>
    <t>4. CIBLAGE-DEFENSE — une ligne par unité, rapide une fois UNITES rempli</t>
  </si>
  <si>
    <t>5. SITES-BATIMENTS et SITES-DENSITE — composition des cibles</t>
  </si>
  <si>
    <t>Ce qui n'est PAS ici</t>
  </si>
  <si>
    <t>Les coûts de construction, les courbes de production, les paliers de recherche : ils sont déjà</t>
  </si>
  <si>
    <t>dans MODELE-ECONOMIQUE.md et ne changent pas. Ce classeur ne couvre que le combat et les cibles.</t>
  </si>
  <si>
    <t>Deux décisions restées ouvertes</t>
  </si>
  <si>
    <t>• Les deux aéronefs ajoutés (stoppeur anti-véhicule, et anti-tout) n'ont pas de nom. Lignes 14 et</t>
  </si>
  <si>
    <t xml:space="preserve">  15 de UNITES, colonne Nom.</t>
  </si>
  <si>
    <t>• L'anti-tout contredit le principe des cases vides du ROSTER §9, qui interdisait une unité</t>
  </si>
  <si>
    <t xml:space="preserve">  annulant les autres. Décision prise de le garder — à confirmer, ou à borner autrement.</t>
  </si>
  <si>
    <t>Grille de combat — constantes</t>
  </si>
  <si>
    <t>Paramètre</t>
  </si>
  <si>
    <t>Valeur</t>
  </si>
  <si>
    <t>Note</t>
  </si>
  <si>
    <t>Largeur de la grille</t>
  </si>
  <si>
    <t>fixé</t>
  </si>
  <si>
    <t>Longueur totale</t>
  </si>
  <si>
    <t>Profondeur zone défenseur</t>
  </si>
  <si>
    <t>bâtiments + défenses</t>
  </si>
  <si>
    <t>Rangées de déploiement attaquant</t>
  </si>
  <si>
    <t>4 × 9 = 36 emplacements</t>
  </si>
  <si>
    <t>Profondeur restante</t>
  </si>
  <si>
    <t>Longueur moins zone défenseur moins déploiement. Terrain neutre. À confirmer.</t>
  </si>
  <si>
    <t>Vagues d'attaque simultanées</t>
  </si>
  <si>
    <t>TA en montre 4, déclenchées à ~10 s d'intervalle</t>
  </si>
  <si>
    <t>Intervalle entre vagues (s)</t>
  </si>
  <si>
    <t>TA : environ 10 s</t>
  </si>
  <si>
    <t>Durée d'un tick (s)</t>
  </si>
  <si>
    <t>0,1 s = 10 Hz proposé</t>
  </si>
  <si>
    <t>Durée maximale d'un combat (s)</t>
  </si>
  <si>
    <t>au-delà, résolution forcée</t>
  </si>
  <si>
    <t>Plancher de réserve en zone défense (%)</t>
  </si>
  <si>
    <t>TA : 10 %</t>
  </si>
  <si>
    <t>Plancher de PV des défenseurs (%)</t>
  </si>
  <si>
    <t>TA : 1 %</t>
  </si>
  <si>
    <t>Réparation gratuite après raid (%)</t>
  </si>
  <si>
    <t>TA : 70 % des PV perdus, au prorata des PV du QG</t>
  </si>
  <si>
    <t>Repères de vitesse dictés</t>
  </si>
  <si>
    <t>• Infanterie : plusieurs secondes par case (donc vitesse &lt; 1)</t>
  </si>
  <si>
    <t>• Blindé lourd : plus rapide que l'infanterie</t>
  </si>
  <si>
    <t>• Blindé léger : plus rapide encore</t>
  </si>
  <si>
    <t>• Aéronef : 1 case par seconde</t>
  </si>
  <si>
    <t>• Aéronef traversant rapide (type Firehawk) : plusieurs cases par seconde</t>
  </si>
  <si>
    <t>Unités offensives — 16 lignes</t>
  </si>
  <si>
    <t>Colonnes jaunes à remplir. DPS et « sec. pour 16 cases » se calculent. Masse : échelle libre, sert au seuil d'écrasement (une masse supérieure écrase une masse inférieure).</t>
  </si>
  <si>
    <t>#</t>
  </si>
  <si>
    <t>Nom</t>
  </si>
  <si>
    <t>Équivalent TA</t>
  </si>
  <si>
    <t>Châssis</t>
  </si>
  <si>
    <t>Spécialité</t>
  </si>
  <si>
    <t>Palier</t>
  </si>
  <si>
    <t>Points
armée</t>
  </si>
  <si>
    <t>PV</t>
  </si>
  <si>
    <t>Dégâts
par tir</t>
  </si>
  <si>
    <t>Cadence
(tirs/s)</t>
  </si>
  <si>
    <t>DPS</t>
  </si>
  <si>
    <t>Portée</t>
  </si>
  <si>
    <t>Portée
mini</t>
  </si>
  <si>
    <t>Vitesse
(cases/s)</t>
  </si>
  <si>
    <t>Sec. pour
16 cases</t>
  </si>
  <si>
    <t>Réserve
(nb tirs)</t>
  </si>
  <si>
    <t>Masse
(écrasement)</t>
  </si>
  <si>
    <t>Comportement
aérien</t>
  </si>
  <si>
    <t>Module</t>
  </si>
  <si>
    <t>Notes</t>
  </si>
  <si>
    <t>Fusiliers</t>
  </si>
  <si>
    <t>Rifleman Squad</t>
  </si>
  <si>
    <t>Escouade</t>
  </si>
  <si>
    <t>anti-infanterie</t>
  </si>
  <si>
    <t>Perceurs</t>
  </si>
  <si>
    <t>Missile Squad</t>
  </si>
  <si>
    <t>anti-véhicule</t>
  </si>
  <si>
    <t>Sapeurs</t>
  </si>
  <si>
    <t>Commando</t>
  </si>
  <si>
    <t>anti-structure</t>
  </si>
  <si>
    <t>Ratisseur</t>
  </si>
  <si>
    <t>Guardian</t>
  </si>
  <si>
    <t>Blindé</t>
  </si>
  <si>
    <t>Fendeur</t>
  </si>
  <si>
    <t>Predator Tank</t>
  </si>
  <si>
    <t>Bélier</t>
  </si>
  <si>
    <t>Pitbull</t>
  </si>
  <si>
    <t>Crécelle</t>
  </si>
  <si>
    <t>Orca</t>
  </si>
  <si>
    <t>Aéronef</t>
  </si>
  <si>
    <t>Frappeur</t>
  </si>
  <si>
    <t>Firehawk</t>
  </si>
  <si>
    <t>Obusier</t>
  </si>
  <si>
    <t>Juggernaut</t>
  </si>
  <si>
    <t>Broyeur</t>
  </si>
  <si>
    <t>Mammoth Tank</t>
  </si>
  <si>
    <t>(à nommer)</t>
  </si>
  <si>
    <t>Paladin</t>
  </si>
  <si>
    <t>Kodiak</t>
  </si>
  <si>
    <t>ex</t>
  </si>
  <si>
    <t>EXEMPLE →</t>
  </si>
  <si>
    <t>—</t>
  </si>
  <si>
    <t>Fumigène : neutralise une structure 5 s</t>
  </si>
  <si>
    <t>l'unité de départ</t>
  </si>
  <si>
    <t>Ciblage défensif — une ligne par unité</t>
  </si>
  <si>
    <t>Dans TA, une unité ne défend pas comme elle attaque : le Missile Squad passe d'anti-char à anti-aérien, le Pitbull d'anti-structure à anti-aérien. Seul le Sniper garde son rôle. Aucune aviation ne défend, des deux côtés.</t>
  </si>
  <si>
    <t>Rôle défensif de
l'équivalent TA</t>
  </si>
  <si>
    <t>Spécialité en attaque</t>
  </si>
  <si>
    <t>Présente
en défense ?</t>
  </si>
  <si>
    <t>Cible de prédilection
en défense</t>
  </si>
  <si>
    <t>Se déplace
latéralement ?</t>
  </si>
  <si>
    <t>Module en défense
(si différent)</t>
  </si>
  <si>
    <t>absent de la défense</t>
  </si>
  <si>
    <t>anti-AÉRIEN principal + anti-véhicule ; se déplace latéralement</t>
  </si>
  <si>
    <t>anti-infanterie mobile + un peu d'anti-aérien</t>
  </si>
  <si>
    <t>anti-véhicule, va-et-vient sur la ligne</t>
  </si>
  <si>
    <t>anti-AÉRIEN mobile + anti-véhicule</t>
  </si>
  <si>
    <t>anti-aérien exclusif, ne touche pas le sol</t>
  </si>
  <si>
    <t>aucune aviation ne défend</t>
  </si>
  <si>
    <t>non</t>
  </si>
  <si>
    <t>anti-véhicule lourd, portée minimale</t>
  </si>
  <si>
    <t>anti-aérien lourd, longue portée</t>
  </si>
  <si>
    <t>anti-blindé lourd (côté Oubliés)</t>
  </si>
  <si>
    <t>Structures défensives</t>
  </si>
  <si>
    <t>Décisions actées : Herse = barrière TRAVERSABLE qui blesse fort sa cible de prédilection et tombe sous l'anti-structure. Bastion scindé en deux — l'un plafonne le niveau, l'autre ouvre les types ET verrouille la réparation quand il tombe.</t>
  </si>
  <si>
    <t>Structure</t>
  </si>
  <si>
    <t>Type</t>
  </si>
  <si>
    <t>Cible</t>
  </si>
  <si>
    <t>Points
défense</t>
  </si>
  <si>
    <t>Cadence</t>
  </si>
  <si>
    <t>Dégâts au
franchissement</t>
  </si>
  <si>
    <t>Bloque ?</t>
  </si>
  <si>
    <t>infanterie</t>
  </si>
  <si>
    <t>barrière</t>
  </si>
  <si>
    <t>Composition d'un site ennemi et butin par bâtiment</t>
  </si>
  <si>
    <t>Le site n'est plus une cible unique : plusieurs bâtiments de valeurs différentes, entre lesquels le joueur arbitre. Un bâtiment central rase tout le site quand il tombe. Colonnes Camp/Avant-poste/Base : nombre d'exemplaires, ou 0.</t>
  </si>
  <si>
    <t>Indice butin = valeur relative, base 1,00. Quartz/Scorie = part de chaque ressource (doit sommer à 1). Butin quartz/scorie = colonnes calculées.</t>
  </si>
  <si>
    <t>Bâtiment</t>
  </si>
  <si>
    <t>Rôle</t>
  </si>
  <si>
    <t>Camp</t>
  </si>
  <si>
    <t>Avant-
poste</t>
  </si>
  <si>
    <t>Base</t>
  </si>
  <si>
    <t>Indice
butin</t>
  </si>
  <si>
    <t>Quartz</t>
  </si>
  <si>
    <t>Scorie</t>
  </si>
  <si>
    <t>Butin
quartz</t>
  </si>
  <si>
    <t>Butin
scorie</t>
  </si>
  <si>
    <t>Indice TA</t>
  </si>
  <si>
    <t>Nœud</t>
  </si>
  <si>
    <t>Collecteur (Harvester)</t>
  </si>
  <si>
    <t>producteur, cœur du site</t>
  </si>
  <si>
    <t>2,75</t>
  </si>
  <si>
    <t>(central)</t>
  </si>
  <si>
    <t>Chantier de construction</t>
  </si>
  <si>
    <t>sa destruction rase le site et livre tout</t>
  </si>
  <si>
    <t>1,00</t>
  </si>
  <si>
    <t>Raffinerie</t>
  </si>
  <si>
    <t>convertit / produit</t>
  </si>
  <si>
    <t>1,16</t>
  </si>
  <si>
    <t>Silo de tiberium</t>
  </si>
  <si>
    <t>stockage spécialisé quartz</t>
  </si>
  <si>
    <t>Silo de cristal</t>
  </si>
  <si>
    <t>stockage spécialisé scorie</t>
  </si>
  <si>
    <t>TOTAL</t>
  </si>
  <si>
    <t>Indices TA mesurés (base = QG défense / complexe / chantier = 1,00) : raffinerie 1,16 · silo 1,38 par ressource · collecteur 2,75</t>
  </si>
  <si>
    <t>Densité et disposition des sites</t>
  </si>
  <si>
    <t>Couverture latérale : proportion des 9 colonnes barrées par une rangée. Jamais 100 % — dans TA il reste toujours un passage. Le terrain bloquant (cratères, mares) oriente les unités, qui n'ont aucun pathfinding.</t>
  </si>
  <si>
    <t>Niveau</t>
  </si>
  <si>
    <t>Type de site</t>
  </si>
  <si>
    <t>Nb bâtiments</t>
  </si>
  <si>
    <t>Nb défenses</t>
  </si>
  <si>
    <t>Ratio
déf/bât</t>
  </si>
  <si>
    <t>Nb rangées
défensives</t>
  </si>
  <si>
    <t>Couverture
latérale (%)</t>
  </si>
  <si>
    <t>Cases de terrain
bloquantes</t>
  </si>
  <si>
    <t>Avant-poste</t>
  </si>
  <si>
    <t>Mesures TA, pour repère</t>
  </si>
  <si>
    <t>Bâtiments</t>
  </si>
  <si>
    <t>Défenses</t>
  </si>
  <si>
    <t>50–65</t>
  </si>
  <si>
    <t>Deux régimes : sous le niveau ~15 la défense est en retard sur le bâti ; au-delà, une défense par bâtiment. Le camp plafonne à 25, l'avant-poste monte à 35.</t>
  </si>
  <si>
    <t>(a nommer)</t>
  </si>
  <si>
    <t>sniper</t>
  </si>
  <si>
    <t xml:space="preserve">survol bâtiment </t>
  </si>
  <si>
    <t xml:space="preserve">normal </t>
  </si>
  <si>
    <t xml:space="preserve">traversant </t>
  </si>
  <si>
    <t>matrice</t>
  </si>
  <si>
    <t xml:space="preserve">vs infanterie </t>
  </si>
  <si>
    <t xml:space="preserve">vs véhicule </t>
  </si>
  <si>
    <t xml:space="preserve">vs structure </t>
  </si>
  <si>
    <t>exosoldat</t>
  </si>
  <si>
    <t xml:space="preserve">fumigène </t>
  </si>
  <si>
    <t>booster</t>
  </si>
  <si>
    <t>garnison</t>
  </si>
  <si>
    <t>ecraseur</t>
  </si>
  <si>
    <t xml:space="preserve">garnison </t>
  </si>
  <si>
    <t>bouclier</t>
  </si>
  <si>
    <t>tir de barrage</t>
  </si>
  <si>
    <t>emp</t>
  </si>
  <si>
    <t xml:space="preserve">tir de barrage </t>
  </si>
  <si>
    <t xml:space="preserve">camouflage </t>
  </si>
  <si>
    <t xml:space="preserve">description module </t>
  </si>
  <si>
    <t xml:space="preserve">désactive une infanterie à porté pendant 5sec, une seule fois par raid, effet -20% sur une unité n+1 niveau </t>
  </si>
  <si>
    <t xml:space="preserve">désactive un véhicule à porté pendant 5sec, une seule fois par raid, effet -20% sur une unité n+1 niveau </t>
  </si>
  <si>
    <t>inflige 30% des dégâts sur les structures voisines</t>
  </si>
  <si>
    <t>apres avoir été blessées, multiplication de la vitesse de déplacement par 10 pendant 3 sec, une seule fois par raid</t>
  </si>
  <si>
    <t>peut embarquer une infanterie dans le véhicule, l'infanterie débarque derrière le véhicule si le véhicule a traversé la défense, où si le véhicule est detruit (dans ce cas, pas de pénalité sur l'infanterie)</t>
  </si>
  <si>
    <t xml:space="preserve">le véhicule peut forcer les murs(inflige automatiquement 10% de dégâts par sec sur le mur) , masse x2 sur infanterie </t>
  </si>
  <si>
    <t>encaisse tout les dégâts subis par les alliés sous le bouclier rayon 2,5, le bouclier a des pv équivalent à 100% des pvs</t>
  </si>
  <si>
    <t xml:space="preserve">invisible pour la défense, sort du camouflage si une cible de prédilection est à portée </t>
  </si>
  <si>
    <t>oui</t>
  </si>
  <si>
    <t xml:space="preserve">anti- infanterie </t>
  </si>
  <si>
    <t>anti-air</t>
  </si>
  <si>
    <t xml:space="preserve">anti véhicule </t>
  </si>
  <si>
    <t>oui pour tous</t>
  </si>
  <si>
    <t xml:space="preserve">20% pv supplémentaire </t>
  </si>
  <si>
    <t xml:space="preserve">1 rayon d'attaque supplémentaire </t>
  </si>
  <si>
    <t>mur</t>
  </si>
  <si>
    <t xml:space="preserve">barbelés </t>
  </si>
  <si>
    <t>anti tank barrier</t>
  </si>
  <si>
    <t>mg nest</t>
  </si>
  <si>
    <t>obusier</t>
  </si>
  <si>
    <t>flak</t>
  </si>
  <si>
    <t>reaper</t>
  </si>
  <si>
    <t>demolisher</t>
  </si>
  <si>
    <t>sam</t>
  </si>
  <si>
    <t xml:space="preserve">structure </t>
  </si>
  <si>
    <t>rien</t>
  </si>
  <si>
    <t xml:space="preserve">véhicule </t>
  </si>
  <si>
    <t xml:space="preserve">aviation </t>
  </si>
  <si>
    <t>tourelle (structure)</t>
  </si>
  <si>
    <t>artillerie (véhicule)</t>
  </si>
  <si>
    <t>10 hz pour tous</t>
  </si>
  <si>
    <t>20 par tick</t>
  </si>
  <si>
    <t>auto repair</t>
  </si>
  <si>
    <t>rayon minimum réduit de 1</t>
  </si>
  <si>
    <t xml:space="preserve">autorepair </t>
  </si>
  <si>
    <t xml:space="preserve">munition spécial </t>
  </si>
  <si>
    <t>repare automatiquement 20% des pv manquants après un raid peu importe le qg/complexe de def</t>
  </si>
  <si>
    <t xml:space="preserve">plus 0,2 sur la matrice de la cible de prédilection </t>
  </si>
  <si>
    <t xml:space="preserve">module forgetten si différents </t>
  </si>
  <si>
    <t>vol de vie</t>
  </si>
  <si>
    <t>converti 20% des dégâts infliger en pv</t>
  </si>
  <si>
    <t>apparition forgotten  en niv</t>
  </si>
  <si>
    <t>apparition module forgetten en niv</t>
  </si>
  <si>
    <t xml:space="preserve">vs aviation </t>
  </si>
  <si>
    <t>10, disperser au hasard, pour tous</t>
  </si>
  <si>
    <t>remplissage de base</t>
  </si>
  <si>
    <t xml:space="preserve">base sera toujours +10% rempli par rapport à l'avant poste du même niveau </t>
  </si>
  <si>
    <t>message d'Ethan pour claude</t>
  </si>
  <si>
    <t xml:space="preserve"> il y a une mécanique que j'ai oublié : plus une unité subi de dégâts, moins elle tape fort, proportionnel au % de pv</t>
  </si>
  <si>
    <t xml:space="preserve">les vagues d'attaque spawn en bas, 2 cases sous la défense </t>
  </si>
  <si>
    <t>credit</t>
  </si>
  <si>
    <t>complexe de défense</t>
  </si>
  <si>
    <t>repare 70% des défenses après un raid</t>
  </si>
  <si>
    <t xml:space="preserve">j'ai modifié/rajoutet/supprimer plein de truc partout, mais je n'ai pas nommé les unités, trouve les noms, je valide après </t>
  </si>
  <si>
    <t>a noter qu'il y a deux types de camps/avant poste : l'un est riche en quartz, l'autre en scories</t>
  </si>
  <si>
    <t>cible quartz</t>
  </si>
  <si>
    <t>75% quartz 25% scories</t>
  </si>
  <si>
    <t>cible scories</t>
  </si>
  <si>
    <t>l'inverse</t>
  </si>
  <si>
    <t>les bases sont proportionnels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</si>
</sst>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Arial"/>
      <charset val="1"/>
    </font>
    <font>
      <sz val="10"/>
      <color rgb="FF0000FF"/>
      <name val="Arial"/>
      <charset val="1"/>
    </font>
    <font>
      <i/>
      <sz val="10"/>
      <color rgb="FF808080"/>
      <name val="Arial"/>
      <charset val="1"/>
    </font>
    <font>
      <sz val="10"/>
      <color rgb="FF000000"/>
      <name val="Arial"/>
      <charset val="1"/>
    </font>
    <font>
      <b/>
      <u/>
      <sz val="11"/>
      <color rgb="FFFF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EAEAEA"/>
      </patternFill>
    </fill>
    <fill>
      <patternFill patternType="solid">
        <fgColor rgb="FF404040"/>
        <bgColor rgb="FF333300"/>
      </patternFill>
    </fill>
    <fill>
      <patternFill patternType="solid">
        <fgColor rgb="FFFFFF99"/>
        <bgColor rgb="FFCCFFCC"/>
      </patternFill>
    </fill>
    <fill>
      <patternFill patternType="solid">
        <fgColor rgb="FFEAEAEA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0" xfId="0" applyFont="1"/>
    <xf numFmtId="0" fontId="2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4" fontId="7" fillId="0" borderId="1" xfId="0" applyNumberFormat="1" applyFont="1" applyBorder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6" fillId="0" borderId="0" xfId="0" applyFont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2" fontId="7" fillId="0" borderId="1" xfId="0" applyNumberFormat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7" fillId="2" borderId="0" xfId="0" applyFont="1" applyFill="1"/>
    <xf numFmtId="0" fontId="4" fillId="3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vertical="top" wrapText="1"/>
    </xf>
    <xf numFmtId="10" fontId="7" fillId="0" borderId="1" xfId="0" applyNumberFormat="1" applyFont="1" applyBorder="1" applyAlignment="1">
      <alignment vertical="top" wrapText="1"/>
    </xf>
    <xf numFmtId="1" fontId="5" fillId="4" borderId="1" xfId="0" applyNumberFormat="1" applyFont="1" applyFill="1" applyBorder="1" applyAlignment="1">
      <alignment vertical="top" wrapText="1"/>
    </xf>
    <xf numFmtId="0" fontId="8" fillId="0" borderId="0" xfId="0" applyFont="1"/>
    <xf numFmtId="10" fontId="5" fillId="4" borderId="1" xfId="0" applyNumberFormat="1" applyFont="1" applyFill="1" applyBorder="1" applyAlignment="1">
      <alignment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AEAE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6"/>
  <sheetViews>
    <sheetView zoomScaleNormal="100" workbookViewId="0">
      <selection activeCell="B35" sqref="B35"/>
    </sheetView>
  </sheetViews>
  <sheetFormatPr defaultColWidth="8.7421875" defaultRowHeight="15" x14ac:dyDescent="0.2"/>
  <cols>
    <col min="1" max="1" width="2.95703125" customWidth="1"/>
    <col min="2" max="2" width="99.94921875" customWidth="1"/>
  </cols>
  <sheetData>
    <row r="2" spans="2:2" ht="18" x14ac:dyDescent="0.2">
      <c r="B2" s="1" t="s">
        <v>0</v>
      </c>
    </row>
    <row r="4" spans="2:2" x14ac:dyDescent="0.2">
      <c r="B4" s="2"/>
    </row>
    <row r="5" spans="2:2" x14ac:dyDescent="0.2">
      <c r="B5" s="3" t="s">
        <v>1</v>
      </c>
    </row>
    <row r="6" spans="2:2" x14ac:dyDescent="0.2">
      <c r="B6" s="2" t="s">
        <v>2</v>
      </c>
    </row>
    <row r="7" spans="2:2" x14ac:dyDescent="0.2">
      <c r="B7" s="2" t="s">
        <v>3</v>
      </c>
    </row>
    <row r="8" spans="2:2" x14ac:dyDescent="0.2">
      <c r="B8" s="2"/>
    </row>
    <row r="9" spans="2:2" x14ac:dyDescent="0.2">
      <c r="B9" s="3" t="s">
        <v>4</v>
      </c>
    </row>
    <row r="10" spans="2:2" x14ac:dyDescent="0.2">
      <c r="B10" s="2" t="s">
        <v>5</v>
      </c>
    </row>
    <row r="11" spans="2:2" x14ac:dyDescent="0.2">
      <c r="B11" s="2" t="s">
        <v>6</v>
      </c>
    </row>
    <row r="12" spans="2:2" x14ac:dyDescent="0.2">
      <c r="B12" s="2" t="s">
        <v>7</v>
      </c>
    </row>
    <row r="13" spans="2:2" x14ac:dyDescent="0.2">
      <c r="B13" s="2" t="s">
        <v>8</v>
      </c>
    </row>
    <row r="14" spans="2:2" x14ac:dyDescent="0.2">
      <c r="B14" s="2" t="s">
        <v>9</v>
      </c>
    </row>
    <row r="15" spans="2:2" x14ac:dyDescent="0.2">
      <c r="B15" s="2"/>
    </row>
    <row r="16" spans="2:2" x14ac:dyDescent="0.2">
      <c r="B16" s="3" t="s">
        <v>10</v>
      </c>
    </row>
    <row r="17" spans="2:2" x14ac:dyDescent="0.2">
      <c r="B17" s="2" t="s">
        <v>11</v>
      </c>
    </row>
    <row r="18" spans="2:2" x14ac:dyDescent="0.2">
      <c r="B18" s="2" t="s">
        <v>12</v>
      </c>
    </row>
    <row r="19" spans="2:2" x14ac:dyDescent="0.2">
      <c r="B19" s="2" t="s">
        <v>13</v>
      </c>
    </row>
    <row r="20" spans="2:2" x14ac:dyDescent="0.2">
      <c r="B20" s="2" t="s">
        <v>14</v>
      </c>
    </row>
    <row r="21" spans="2:2" x14ac:dyDescent="0.2">
      <c r="B21" s="2" t="s">
        <v>15</v>
      </c>
    </row>
    <row r="22" spans="2:2" x14ac:dyDescent="0.2">
      <c r="B22" s="2"/>
    </row>
    <row r="23" spans="2:2" x14ac:dyDescent="0.2">
      <c r="B23" s="3" t="s">
        <v>16</v>
      </c>
    </row>
    <row r="24" spans="2:2" x14ac:dyDescent="0.2">
      <c r="B24" s="2" t="s">
        <v>17</v>
      </c>
    </row>
    <row r="25" spans="2:2" x14ac:dyDescent="0.2">
      <c r="B25" s="2" t="s">
        <v>18</v>
      </c>
    </row>
    <row r="26" spans="2:2" x14ac:dyDescent="0.2">
      <c r="B26" s="2"/>
    </row>
    <row r="27" spans="2:2" x14ac:dyDescent="0.2">
      <c r="B27" s="3" t="s">
        <v>19</v>
      </c>
    </row>
    <row r="28" spans="2:2" x14ac:dyDescent="0.2">
      <c r="B28" s="2" t="s">
        <v>20</v>
      </c>
    </row>
    <row r="29" spans="2:2" x14ac:dyDescent="0.2">
      <c r="B29" s="2" t="s">
        <v>21</v>
      </c>
    </row>
    <row r="30" spans="2:2" x14ac:dyDescent="0.2">
      <c r="B30" s="2" t="s">
        <v>22</v>
      </c>
    </row>
    <row r="31" spans="2:2" x14ac:dyDescent="0.2">
      <c r="B31" s="2" t="s">
        <v>23</v>
      </c>
    </row>
    <row r="32" spans="2:2" x14ac:dyDescent="0.2">
      <c r="B32" s="2"/>
    </row>
    <row r="33" spans="2:2" x14ac:dyDescent="0.2">
      <c r="B33" s="28" t="s">
        <v>258</v>
      </c>
    </row>
    <row r="34" spans="2:2" x14ac:dyDescent="0.2">
      <c r="B34" t="s">
        <v>259</v>
      </c>
    </row>
    <row r="35" spans="2:2" x14ac:dyDescent="0.2">
      <c r="B35" t="s">
        <v>264</v>
      </c>
    </row>
    <row r="36" spans="2:2" x14ac:dyDescent="0.2">
      <c r="B36" t="s">
        <v>260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zoomScaleNormal="100" workbookViewId="0">
      <selection activeCell="A23" sqref="A23"/>
    </sheetView>
  </sheetViews>
  <sheetFormatPr defaultColWidth="8.7421875" defaultRowHeight="15" x14ac:dyDescent="0.2"/>
  <cols>
    <col min="1" max="1" width="37.93359375" customWidth="1"/>
    <col min="2" max="2" width="13.98828125" customWidth="1"/>
    <col min="3" max="3" width="59.99609375" customWidth="1"/>
  </cols>
  <sheetData>
    <row r="1" spans="1:3" ht="18" x14ac:dyDescent="0.2">
      <c r="A1" s="1" t="s">
        <v>24</v>
      </c>
    </row>
    <row r="3" spans="1:3" ht="33.75" customHeight="1" x14ac:dyDescent="0.2">
      <c r="A3" s="4" t="s">
        <v>25</v>
      </c>
      <c r="B3" s="4" t="s">
        <v>26</v>
      </c>
      <c r="C3" s="4" t="s">
        <v>27</v>
      </c>
    </row>
    <row r="4" spans="1:3" x14ac:dyDescent="0.2">
      <c r="A4" s="5" t="s">
        <v>28</v>
      </c>
      <c r="B4" s="6">
        <v>9</v>
      </c>
      <c r="C4" s="7" t="s">
        <v>29</v>
      </c>
    </row>
    <row r="5" spans="1:3" x14ac:dyDescent="0.2">
      <c r="A5" s="5" t="s">
        <v>30</v>
      </c>
      <c r="B5" s="6">
        <v>18</v>
      </c>
      <c r="C5" s="7" t="s">
        <v>29</v>
      </c>
    </row>
    <row r="6" spans="1:3" x14ac:dyDescent="0.2">
      <c r="A6" s="5" t="s">
        <v>31</v>
      </c>
      <c r="B6" s="6">
        <v>16</v>
      </c>
      <c r="C6" s="7" t="s">
        <v>32</v>
      </c>
    </row>
    <row r="7" spans="1:3" x14ac:dyDescent="0.2">
      <c r="A7" s="5" t="s">
        <v>33</v>
      </c>
      <c r="B7" s="6">
        <v>2</v>
      </c>
      <c r="C7" s="7" t="s">
        <v>34</v>
      </c>
    </row>
    <row r="8" spans="1:3" x14ac:dyDescent="0.2">
      <c r="A8" s="5" t="s">
        <v>35</v>
      </c>
      <c r="B8" s="8">
        <f>B5-B6-B7</f>
        <v>0</v>
      </c>
      <c r="C8" s="7" t="s">
        <v>36</v>
      </c>
    </row>
    <row r="9" spans="1:3" x14ac:dyDescent="0.2">
      <c r="A9" s="5" t="s">
        <v>37</v>
      </c>
      <c r="B9" s="9">
        <v>4</v>
      </c>
      <c r="C9" s="7" t="s">
        <v>38</v>
      </c>
    </row>
    <row r="10" spans="1:3" x14ac:dyDescent="0.2">
      <c r="A10" s="5" t="s">
        <v>39</v>
      </c>
      <c r="B10" s="9">
        <v>5</v>
      </c>
      <c r="C10" s="7" t="s">
        <v>40</v>
      </c>
    </row>
    <row r="11" spans="1:3" x14ac:dyDescent="0.2">
      <c r="A11" s="5" t="s">
        <v>41</v>
      </c>
      <c r="B11" s="9">
        <v>0.1</v>
      </c>
      <c r="C11" s="7" t="s">
        <v>42</v>
      </c>
    </row>
    <row r="12" spans="1:3" x14ac:dyDescent="0.2">
      <c r="A12" s="5" t="s">
        <v>43</v>
      </c>
      <c r="B12" s="9">
        <v>90</v>
      </c>
      <c r="C12" s="7" t="s">
        <v>44</v>
      </c>
    </row>
    <row r="13" spans="1:3" x14ac:dyDescent="0.2">
      <c r="A13" s="5" t="s">
        <v>45</v>
      </c>
      <c r="B13" s="9">
        <v>10</v>
      </c>
      <c r="C13" s="7" t="s">
        <v>46</v>
      </c>
    </row>
    <row r="14" spans="1:3" x14ac:dyDescent="0.2">
      <c r="A14" s="5" t="s">
        <v>47</v>
      </c>
      <c r="B14" s="9">
        <v>1</v>
      </c>
      <c r="C14" s="7" t="s">
        <v>48</v>
      </c>
    </row>
    <row r="15" spans="1:3" x14ac:dyDescent="0.2">
      <c r="A15" s="5" t="s">
        <v>49</v>
      </c>
      <c r="B15" s="9">
        <v>70</v>
      </c>
      <c r="C15" s="7" t="s">
        <v>50</v>
      </c>
    </row>
    <row r="17" spans="1:1" x14ac:dyDescent="0.2">
      <c r="A17" s="3" t="s">
        <v>51</v>
      </c>
    </row>
    <row r="18" spans="1:1" x14ac:dyDescent="0.2">
      <c r="A18" s="10" t="s">
        <v>52</v>
      </c>
    </row>
    <row r="19" spans="1:1" x14ac:dyDescent="0.2">
      <c r="A19" s="10" t="s">
        <v>53</v>
      </c>
    </row>
    <row r="20" spans="1:1" x14ac:dyDescent="0.2">
      <c r="A20" s="10" t="s">
        <v>54</v>
      </c>
    </row>
    <row r="21" spans="1:1" x14ac:dyDescent="0.2">
      <c r="A21" s="10" t="s">
        <v>55</v>
      </c>
    </row>
    <row r="22" spans="1:1" x14ac:dyDescent="0.2">
      <c r="A22" s="10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0"/>
  <sheetViews>
    <sheetView topLeftCell="A3" zoomScaleNormal="100" workbookViewId="0">
      <pane xSplit="3" ySplit="1" topLeftCell="AZ4" activePane="bottomRight" state="frozen"/>
      <selection activeCell="G6" sqref="G6"/>
      <selection pane="bottomLeft" activeCell="A4" sqref="A4"/>
      <selection pane="topRight" activeCell="T3" sqref="T3"/>
      <selection pane="bottomRight" activeCell="W4" sqref="W1:W1048576"/>
    </sheetView>
  </sheetViews>
  <sheetFormatPr defaultColWidth="8.7421875" defaultRowHeight="15" x14ac:dyDescent="0.2"/>
  <cols>
    <col min="1" max="1" width="4.03515625" customWidth="1"/>
    <col min="2" max="2" width="5.6484375" customWidth="1"/>
    <col min="3" max="3" width="16.6796875" customWidth="1"/>
    <col min="4" max="4" width="11.02734375" customWidth="1"/>
    <col min="5" max="5" width="16.0078125" customWidth="1"/>
    <col min="6" max="6" width="6.9921875" customWidth="1"/>
    <col min="7" max="7" width="7.93359375" customWidth="1"/>
    <col min="8" max="10" width="9.01171875" customWidth="1"/>
    <col min="11" max="13" width="7.93359375" customWidth="1"/>
    <col min="14" max="15" width="9.953125" customWidth="1"/>
    <col min="16" max="16" width="9.01171875" customWidth="1"/>
    <col min="17" max="17" width="9.953125" customWidth="1"/>
    <col min="18" max="18" width="13.98828125" customWidth="1"/>
    <col min="19" max="19" width="14.796875" customWidth="1"/>
    <col min="20" max="20" width="11.8359375" customWidth="1"/>
    <col min="21" max="21" width="11.56640625" customWidth="1"/>
    <col min="22" max="22" width="14.52734375" customWidth="1"/>
    <col min="23" max="23" width="9.14453125" customWidth="1"/>
    <col min="26" max="26" width="13.71875" customWidth="1"/>
  </cols>
  <sheetData>
    <row r="1" spans="1:27" ht="18" x14ac:dyDescent="0.2">
      <c r="A1" s="1" t="s">
        <v>57</v>
      </c>
    </row>
    <row r="2" spans="1:27" x14ac:dyDescent="0.2">
      <c r="A2" s="10" t="s">
        <v>58</v>
      </c>
    </row>
    <row r="3" spans="1:27" x14ac:dyDescent="0.2">
      <c r="W3" s="30" t="s">
        <v>195</v>
      </c>
      <c r="X3" s="30"/>
      <c r="Y3" s="30"/>
    </row>
    <row r="4" spans="1:27" ht="33.75" customHeight="1" x14ac:dyDescent="0.2">
      <c r="A4" s="4" t="s">
        <v>59</v>
      </c>
      <c r="B4" s="4" t="s">
        <v>60</v>
      </c>
      <c r="C4" s="4" t="s">
        <v>61</v>
      </c>
      <c r="D4" s="4" t="s">
        <v>62</v>
      </c>
      <c r="E4" s="4" t="s">
        <v>63</v>
      </c>
      <c r="F4" s="4" t="s">
        <v>64</v>
      </c>
      <c r="G4" s="4" t="s">
        <v>65</v>
      </c>
      <c r="H4" s="4" t="s">
        <v>66</v>
      </c>
      <c r="I4" s="4" t="s">
        <v>67</v>
      </c>
      <c r="J4" s="4" t="s">
        <v>68</v>
      </c>
      <c r="K4" s="4" t="s">
        <v>69</v>
      </c>
      <c r="L4" s="4" t="s">
        <v>70</v>
      </c>
      <c r="M4" s="4" t="s">
        <v>71</v>
      </c>
      <c r="N4" s="4" t="s">
        <v>72</v>
      </c>
      <c r="O4" s="4" t="s">
        <v>73</v>
      </c>
      <c r="P4" s="4" t="s">
        <v>74</v>
      </c>
      <c r="Q4" s="4" t="s">
        <v>75</v>
      </c>
      <c r="R4" s="4" t="s">
        <v>76</v>
      </c>
      <c r="S4" s="4" t="s">
        <v>77</v>
      </c>
      <c r="T4" s="4" t="s">
        <v>249</v>
      </c>
      <c r="U4" s="4" t="s">
        <v>252</v>
      </c>
      <c r="V4" s="24" t="s">
        <v>253</v>
      </c>
      <c r="W4" t="s">
        <v>196</v>
      </c>
      <c r="X4" t="s">
        <v>197</v>
      </c>
      <c r="Y4" t="s">
        <v>198</v>
      </c>
      <c r="Z4" s="30" t="s">
        <v>210</v>
      </c>
      <c r="AA4" s="30"/>
    </row>
    <row r="5" spans="1:27" ht="24.75" x14ac:dyDescent="0.2">
      <c r="A5" s="11">
        <v>1</v>
      </c>
      <c r="B5" s="11" t="s">
        <v>79</v>
      </c>
      <c r="C5" s="12" t="s">
        <v>80</v>
      </c>
      <c r="D5" s="11" t="s">
        <v>81</v>
      </c>
      <c r="E5" s="11" t="s">
        <v>82</v>
      </c>
      <c r="F5" s="13">
        <v>0</v>
      </c>
      <c r="G5" s="14">
        <v>5</v>
      </c>
      <c r="H5" s="14">
        <v>100</v>
      </c>
      <c r="I5" s="14">
        <v>8</v>
      </c>
      <c r="J5" s="14">
        <v>10</v>
      </c>
      <c r="K5" s="15">
        <f>IFERROR(I5*J5,"")</f>
        <v>80</v>
      </c>
      <c r="L5" s="14">
        <v>1.5</v>
      </c>
      <c r="M5" s="14">
        <v>0</v>
      </c>
      <c r="N5" s="14">
        <v>0.5</v>
      </c>
      <c r="O5" s="15">
        <f>IFERROR(16/N5,"")</f>
        <v>32</v>
      </c>
      <c r="P5" s="14">
        <v>150</v>
      </c>
      <c r="Q5" s="14">
        <v>1</v>
      </c>
      <c r="R5" s="14"/>
      <c r="S5" s="14" t="s">
        <v>200</v>
      </c>
      <c r="T5" s="14"/>
      <c r="U5" s="14">
        <v>0</v>
      </c>
      <c r="V5" s="25">
        <v>20</v>
      </c>
      <c r="W5">
        <v>1</v>
      </c>
      <c r="X5">
        <v>0.2</v>
      </c>
      <c r="Y5">
        <v>0.3</v>
      </c>
      <c r="Z5" s="14" t="s">
        <v>200</v>
      </c>
      <c r="AA5" t="s">
        <v>211</v>
      </c>
    </row>
    <row r="6" spans="1:27" ht="24.75" x14ac:dyDescent="0.2">
      <c r="A6" s="11">
        <v>2</v>
      </c>
      <c r="B6" s="11" t="s">
        <v>83</v>
      </c>
      <c r="C6" s="12" t="s">
        <v>84</v>
      </c>
      <c r="D6" s="11" t="s">
        <v>81</v>
      </c>
      <c r="E6" s="11" t="s">
        <v>85</v>
      </c>
      <c r="F6" s="13">
        <v>1</v>
      </c>
      <c r="G6" s="14">
        <v>5</v>
      </c>
      <c r="H6" s="14">
        <v>100</v>
      </c>
      <c r="I6" s="14">
        <v>8</v>
      </c>
      <c r="J6" s="14">
        <v>10</v>
      </c>
      <c r="K6" s="15">
        <f>IFERROR(I6*J6,"")</f>
        <v>80</v>
      </c>
      <c r="L6" s="14">
        <v>1.5</v>
      </c>
      <c r="M6" s="14">
        <v>0</v>
      </c>
      <c r="N6" s="14">
        <v>0.5</v>
      </c>
      <c r="O6" s="15">
        <f>IFERROR(16/N6,"")</f>
        <v>32</v>
      </c>
      <c r="P6" s="14">
        <v>250</v>
      </c>
      <c r="Q6" s="14">
        <v>1</v>
      </c>
      <c r="R6" s="14"/>
      <c r="S6" s="14" t="s">
        <v>206</v>
      </c>
      <c r="T6" s="14"/>
      <c r="U6" s="14">
        <v>4</v>
      </c>
      <c r="V6" s="25">
        <v>22</v>
      </c>
      <c r="W6">
        <v>0.2</v>
      </c>
      <c r="X6">
        <v>0.5</v>
      </c>
      <c r="Y6">
        <v>1</v>
      </c>
      <c r="Z6" s="14" t="s">
        <v>206</v>
      </c>
      <c r="AA6" t="s">
        <v>213</v>
      </c>
    </row>
    <row r="7" spans="1:27" ht="24.75" x14ac:dyDescent="0.2">
      <c r="A7" s="11">
        <v>3</v>
      </c>
      <c r="B7" s="11" t="s">
        <v>86</v>
      </c>
      <c r="C7" s="12" t="s">
        <v>87</v>
      </c>
      <c r="D7" s="11" t="s">
        <v>81</v>
      </c>
      <c r="E7" s="11" t="s">
        <v>88</v>
      </c>
      <c r="F7" s="13">
        <v>10</v>
      </c>
      <c r="G7" s="14">
        <v>10</v>
      </c>
      <c r="H7" s="14">
        <v>150</v>
      </c>
      <c r="I7" s="14">
        <v>20</v>
      </c>
      <c r="J7" s="14">
        <v>10</v>
      </c>
      <c r="K7" s="15">
        <f>IFERROR(I7*J7,"")</f>
        <v>200</v>
      </c>
      <c r="L7" s="14">
        <v>1.5</v>
      </c>
      <c r="M7" s="14">
        <v>0</v>
      </c>
      <c r="N7" s="14">
        <v>0.5</v>
      </c>
      <c r="O7" s="15">
        <f>IFERROR(16/N7,"")</f>
        <v>32</v>
      </c>
      <c r="P7" s="14">
        <v>300</v>
      </c>
      <c r="Q7" s="14">
        <v>1</v>
      </c>
      <c r="R7" s="14"/>
      <c r="S7" s="14" t="s">
        <v>201</v>
      </c>
      <c r="T7" s="14" t="s">
        <v>209</v>
      </c>
      <c r="U7" s="14">
        <v>24</v>
      </c>
      <c r="V7" s="25">
        <v>38</v>
      </c>
      <c r="W7">
        <v>0.2</v>
      </c>
      <c r="X7">
        <v>0.2</v>
      </c>
      <c r="Y7">
        <v>1</v>
      </c>
      <c r="Z7" s="14" t="s">
        <v>201</v>
      </c>
      <c r="AA7" t="s">
        <v>214</v>
      </c>
    </row>
    <row r="8" spans="1:27" ht="24.75" x14ac:dyDescent="0.2">
      <c r="A8" s="11">
        <v>4</v>
      </c>
      <c r="B8" s="11" t="s">
        <v>89</v>
      </c>
      <c r="C8" s="12" t="s">
        <v>90</v>
      </c>
      <c r="D8" s="11" t="s">
        <v>91</v>
      </c>
      <c r="E8" s="11" t="s">
        <v>82</v>
      </c>
      <c r="F8" s="13">
        <v>0</v>
      </c>
      <c r="G8" s="14">
        <v>10</v>
      </c>
      <c r="H8" s="14">
        <v>200</v>
      </c>
      <c r="I8" s="14">
        <v>10</v>
      </c>
      <c r="J8" s="14">
        <v>10</v>
      </c>
      <c r="K8" s="15">
        <f>IFERROR(I8*J8,"")</f>
        <v>100</v>
      </c>
      <c r="L8" s="14">
        <v>1.5</v>
      </c>
      <c r="M8" s="14">
        <v>0</v>
      </c>
      <c r="N8" s="14">
        <v>1.2</v>
      </c>
      <c r="O8" s="15">
        <f>IFERROR(16/N8,"")</f>
        <v>13.333333333333334</v>
      </c>
      <c r="P8" s="14">
        <v>150</v>
      </c>
      <c r="Q8" s="14">
        <v>5</v>
      </c>
      <c r="R8" s="14"/>
      <c r="S8" s="14" t="s">
        <v>202</v>
      </c>
      <c r="T8" s="14"/>
      <c r="U8" s="14">
        <v>18</v>
      </c>
      <c r="V8" s="25">
        <v>36</v>
      </c>
      <c r="W8">
        <v>1</v>
      </c>
      <c r="X8">
        <v>0.3</v>
      </c>
      <c r="Y8">
        <v>0.4</v>
      </c>
      <c r="Z8" s="14" t="s">
        <v>202</v>
      </c>
      <c r="AA8" t="s">
        <v>215</v>
      </c>
    </row>
    <row r="9" spans="1:27" ht="24.75" x14ac:dyDescent="0.2">
      <c r="A9" s="11">
        <v>5</v>
      </c>
      <c r="B9" s="11" t="s">
        <v>92</v>
      </c>
      <c r="C9" s="12" t="s">
        <v>93</v>
      </c>
      <c r="D9" s="11" t="s">
        <v>91</v>
      </c>
      <c r="E9" s="11" t="s">
        <v>85</v>
      </c>
      <c r="F9" s="13">
        <v>5</v>
      </c>
      <c r="G9" s="14">
        <v>10</v>
      </c>
      <c r="H9" s="14">
        <v>300</v>
      </c>
      <c r="I9" s="14">
        <v>12</v>
      </c>
      <c r="J9" s="14">
        <v>10</v>
      </c>
      <c r="K9" s="15">
        <f>IFERROR(I9*J9,"")</f>
        <v>120</v>
      </c>
      <c r="L9" s="14">
        <v>2.5</v>
      </c>
      <c r="M9" s="14">
        <v>0</v>
      </c>
      <c r="N9" s="14">
        <v>1</v>
      </c>
      <c r="O9" s="15">
        <f>IFERROR(16/N9,"")</f>
        <v>16</v>
      </c>
      <c r="P9" s="14">
        <v>200</v>
      </c>
      <c r="Q9" s="14">
        <v>10</v>
      </c>
      <c r="R9" s="14"/>
      <c r="S9" s="14" t="s">
        <v>203</v>
      </c>
      <c r="T9" s="14"/>
      <c r="U9" s="14">
        <v>12</v>
      </c>
      <c r="V9" s="25">
        <v>34</v>
      </c>
      <c r="W9">
        <v>0.3</v>
      </c>
      <c r="X9">
        <v>1</v>
      </c>
      <c r="Y9">
        <v>0.4</v>
      </c>
      <c r="Z9" s="14" t="s">
        <v>203</v>
      </c>
      <c r="AA9" t="s">
        <v>216</v>
      </c>
    </row>
    <row r="10" spans="1:27" x14ac:dyDescent="0.2">
      <c r="A10" s="11">
        <v>6</v>
      </c>
      <c r="B10" s="11" t="s">
        <v>94</v>
      </c>
      <c r="C10" s="12" t="s">
        <v>95</v>
      </c>
      <c r="D10" s="11" t="s">
        <v>91</v>
      </c>
      <c r="E10" s="11" t="s">
        <v>88</v>
      </c>
      <c r="F10" s="13">
        <v>1</v>
      </c>
      <c r="G10" s="14">
        <v>10</v>
      </c>
      <c r="H10" s="14">
        <v>200</v>
      </c>
      <c r="I10" s="14">
        <v>10</v>
      </c>
      <c r="J10" s="14">
        <v>10</v>
      </c>
      <c r="K10" s="15">
        <f>IFERROR(I10*J10,"")</f>
        <v>100</v>
      </c>
      <c r="L10" s="14">
        <v>2.5</v>
      </c>
      <c r="M10" s="14">
        <v>0</v>
      </c>
      <c r="N10" s="14">
        <v>1.2</v>
      </c>
      <c r="O10" s="15">
        <f>IFERROR(16/N10,"")</f>
        <v>13.333333333333334</v>
      </c>
      <c r="P10" s="14">
        <v>250</v>
      </c>
      <c r="Q10" s="14">
        <v>5</v>
      </c>
      <c r="R10" s="14"/>
      <c r="S10" s="14" t="s">
        <v>200</v>
      </c>
      <c r="T10" s="14"/>
      <c r="U10" s="14">
        <v>16</v>
      </c>
      <c r="V10" s="25">
        <v>32</v>
      </c>
      <c r="W10">
        <v>0.2</v>
      </c>
      <c r="X10">
        <v>0.3</v>
      </c>
      <c r="Y10">
        <v>1</v>
      </c>
      <c r="Z10" s="14" t="s">
        <v>207</v>
      </c>
      <c r="AA10" t="s">
        <v>212</v>
      </c>
    </row>
    <row r="11" spans="1:27" ht="36" x14ac:dyDescent="0.2">
      <c r="A11" s="11">
        <v>7</v>
      </c>
      <c r="B11" s="11" t="s">
        <v>190</v>
      </c>
      <c r="C11" s="12" t="s">
        <v>199</v>
      </c>
      <c r="D11" s="11" t="s">
        <v>81</v>
      </c>
      <c r="E11" s="11" t="s">
        <v>85</v>
      </c>
      <c r="F11" s="13">
        <v>5</v>
      </c>
      <c r="G11" s="14">
        <v>10</v>
      </c>
      <c r="H11" s="14">
        <v>150</v>
      </c>
      <c r="I11" s="14">
        <v>10</v>
      </c>
      <c r="J11" s="14">
        <v>10</v>
      </c>
      <c r="K11" s="15">
        <f>IFERROR(I11*J11,"")</f>
        <v>100</v>
      </c>
      <c r="L11" s="14">
        <v>1.5</v>
      </c>
      <c r="M11" s="14">
        <v>0</v>
      </c>
      <c r="N11" s="14">
        <v>0.5</v>
      </c>
      <c r="O11" s="15">
        <f>IFERROR(16/N11,"")</f>
        <v>32</v>
      </c>
      <c r="P11" s="14">
        <v>150</v>
      </c>
      <c r="Q11" s="14">
        <v>1</v>
      </c>
      <c r="R11" s="14"/>
      <c r="S11" s="14" t="s">
        <v>201</v>
      </c>
      <c r="T11" s="14" t="s">
        <v>209</v>
      </c>
      <c r="U11" s="14">
        <v>8</v>
      </c>
      <c r="V11" s="25">
        <v>28</v>
      </c>
      <c r="W11">
        <v>0.2</v>
      </c>
      <c r="X11">
        <v>1</v>
      </c>
      <c r="Y11">
        <v>0.2</v>
      </c>
      <c r="Z11" s="14" t="s">
        <v>245</v>
      </c>
      <c r="AA11" t="s">
        <v>247</v>
      </c>
    </row>
    <row r="12" spans="1:27" ht="24.75" x14ac:dyDescent="0.2">
      <c r="A12" s="11">
        <v>8</v>
      </c>
      <c r="B12" s="11" t="s">
        <v>96</v>
      </c>
      <c r="C12" s="12" t="s">
        <v>97</v>
      </c>
      <c r="D12" s="11" t="s">
        <v>98</v>
      </c>
      <c r="E12" s="11" t="s">
        <v>82</v>
      </c>
      <c r="F12" s="13">
        <v>4</v>
      </c>
      <c r="G12" s="14">
        <v>10</v>
      </c>
      <c r="H12" s="14">
        <v>200</v>
      </c>
      <c r="I12" s="14">
        <v>12</v>
      </c>
      <c r="J12" s="14">
        <v>10</v>
      </c>
      <c r="K12" s="15">
        <f>IFERROR(I12*J12,"")</f>
        <v>120</v>
      </c>
      <c r="L12" s="14">
        <v>1.5</v>
      </c>
      <c r="M12" s="14">
        <v>0</v>
      </c>
      <c r="N12" s="14">
        <v>1.5</v>
      </c>
      <c r="O12" s="15">
        <f>IFERROR(16/N12,"")</f>
        <v>10.666666666666666</v>
      </c>
      <c r="P12" s="14">
        <v>150</v>
      </c>
      <c r="Q12" s="14">
        <v>0</v>
      </c>
      <c r="R12" s="14" t="s">
        <v>194</v>
      </c>
      <c r="S12" s="14" t="s">
        <v>207</v>
      </c>
      <c r="T12" s="14"/>
      <c r="U12" s="14">
        <v>10</v>
      </c>
      <c r="V12" s="25">
        <v>32</v>
      </c>
      <c r="W12">
        <v>1</v>
      </c>
      <c r="X12">
        <v>0.2</v>
      </c>
      <c r="Y12">
        <v>0.2</v>
      </c>
      <c r="Z12" s="14" t="s">
        <v>205</v>
      </c>
      <c r="AA12" t="s">
        <v>217</v>
      </c>
    </row>
    <row r="13" spans="1:27" ht="24.75" x14ac:dyDescent="0.2">
      <c r="A13" s="11">
        <v>9</v>
      </c>
      <c r="B13" s="11" t="s">
        <v>99</v>
      </c>
      <c r="C13" s="12" t="s">
        <v>100</v>
      </c>
      <c r="D13" s="11" t="s">
        <v>98</v>
      </c>
      <c r="E13" s="11" t="s">
        <v>88</v>
      </c>
      <c r="F13" s="13">
        <v>8</v>
      </c>
      <c r="G13" s="14">
        <v>10</v>
      </c>
      <c r="H13" s="14">
        <v>150</v>
      </c>
      <c r="I13" s="14">
        <v>20</v>
      </c>
      <c r="J13" s="14">
        <v>10</v>
      </c>
      <c r="K13" s="15">
        <f>IFERROR(I13*J13,"")</f>
        <v>200</v>
      </c>
      <c r="L13" s="14">
        <v>1.5</v>
      </c>
      <c r="M13" s="14">
        <v>0</v>
      </c>
      <c r="N13" s="14">
        <v>3</v>
      </c>
      <c r="O13" s="15">
        <f>IFERROR(16/N13,"")</f>
        <v>5.333333333333333</v>
      </c>
      <c r="P13" s="14">
        <v>300</v>
      </c>
      <c r="Q13" s="14">
        <v>0</v>
      </c>
      <c r="R13" s="14" t="s">
        <v>194</v>
      </c>
      <c r="S13" s="14" t="s">
        <v>209</v>
      </c>
      <c r="T13" s="14"/>
      <c r="U13" s="14">
        <v>20</v>
      </c>
      <c r="V13" s="25">
        <v>36</v>
      </c>
      <c r="W13">
        <v>0</v>
      </c>
      <c r="X13">
        <v>0</v>
      </c>
      <c r="Y13">
        <v>1</v>
      </c>
      <c r="Z13" s="14" t="s">
        <v>209</v>
      </c>
      <c r="AA13" t="s">
        <v>218</v>
      </c>
    </row>
    <row r="14" spans="1:27" ht="24.75" x14ac:dyDescent="0.2">
      <c r="A14" s="11">
        <v>10</v>
      </c>
      <c r="B14" s="11" t="s">
        <v>101</v>
      </c>
      <c r="C14" s="12" t="s">
        <v>102</v>
      </c>
      <c r="D14" s="11" t="s">
        <v>91</v>
      </c>
      <c r="E14" s="11" t="s">
        <v>88</v>
      </c>
      <c r="F14" s="13">
        <v>7</v>
      </c>
      <c r="G14" s="14">
        <v>15</v>
      </c>
      <c r="H14" s="14">
        <v>400</v>
      </c>
      <c r="I14" s="14">
        <v>15</v>
      </c>
      <c r="J14" s="14">
        <v>10</v>
      </c>
      <c r="K14" s="15">
        <f>IFERROR(I14*J14,"")</f>
        <v>150</v>
      </c>
      <c r="L14" s="14">
        <v>2.5</v>
      </c>
      <c r="M14" s="14">
        <v>0</v>
      </c>
      <c r="N14" s="14">
        <v>1</v>
      </c>
      <c r="O14" s="15">
        <f>IFERROR(16/N14,"")</f>
        <v>16</v>
      </c>
      <c r="P14" s="14">
        <v>300</v>
      </c>
      <c r="Q14" s="14">
        <v>20</v>
      </c>
      <c r="R14" s="14"/>
      <c r="S14" s="14" t="s">
        <v>208</v>
      </c>
      <c r="T14" s="14"/>
      <c r="U14" s="14">
        <v>32</v>
      </c>
      <c r="V14" s="25">
        <v>44</v>
      </c>
      <c r="W14">
        <v>0.3</v>
      </c>
      <c r="X14">
        <v>0.3</v>
      </c>
      <c r="Y14">
        <v>1</v>
      </c>
      <c r="Z14" t="s">
        <v>246</v>
      </c>
      <c r="AA14" t="s">
        <v>248</v>
      </c>
    </row>
    <row r="15" spans="1:27" ht="24.75" x14ac:dyDescent="0.2">
      <c r="A15" s="11">
        <v>11</v>
      </c>
      <c r="B15" s="11" t="s">
        <v>103</v>
      </c>
      <c r="C15" s="12" t="s">
        <v>104</v>
      </c>
      <c r="D15" s="11" t="s">
        <v>91</v>
      </c>
      <c r="E15" s="11" t="s">
        <v>88</v>
      </c>
      <c r="F15" s="13">
        <v>9</v>
      </c>
      <c r="G15" s="14">
        <v>15</v>
      </c>
      <c r="H15" s="14">
        <v>500</v>
      </c>
      <c r="I15" s="14">
        <v>15</v>
      </c>
      <c r="J15" s="14">
        <v>10</v>
      </c>
      <c r="K15" s="15">
        <f>IFERROR(I15*J15,"")</f>
        <v>150</v>
      </c>
      <c r="L15" s="14">
        <v>2.5</v>
      </c>
      <c r="M15" s="14">
        <v>0</v>
      </c>
      <c r="N15" s="14">
        <v>1</v>
      </c>
      <c r="O15" s="15">
        <f>IFERROR(16/N15,"")</f>
        <v>16</v>
      </c>
      <c r="P15" s="14">
        <v>200</v>
      </c>
      <c r="Q15" s="14">
        <v>20</v>
      </c>
      <c r="R15" s="14"/>
      <c r="S15" s="14" t="s">
        <v>203</v>
      </c>
      <c r="T15" s="14" t="s">
        <v>250</v>
      </c>
      <c r="U15" s="14">
        <v>28</v>
      </c>
      <c r="V15" s="25">
        <v>42</v>
      </c>
      <c r="W15">
        <v>0.3</v>
      </c>
      <c r="X15">
        <v>1</v>
      </c>
      <c r="Y15">
        <v>0.4</v>
      </c>
      <c r="Z15" t="s">
        <v>250</v>
      </c>
      <c r="AA15" t="s">
        <v>251</v>
      </c>
    </row>
    <row r="16" spans="1:27" ht="36" x14ac:dyDescent="0.2">
      <c r="A16" s="11">
        <v>12</v>
      </c>
      <c r="B16" s="11" t="s">
        <v>105</v>
      </c>
      <c r="C16" s="12" t="s">
        <v>106</v>
      </c>
      <c r="D16" s="11" t="s">
        <v>98</v>
      </c>
      <c r="E16" s="11" t="s">
        <v>85</v>
      </c>
      <c r="F16" s="14">
        <v>0</v>
      </c>
      <c r="G16" s="14">
        <v>10</v>
      </c>
      <c r="H16" s="14">
        <v>200</v>
      </c>
      <c r="I16" s="14">
        <v>10</v>
      </c>
      <c r="J16" s="14">
        <v>10</v>
      </c>
      <c r="K16" s="15">
        <f>IFERROR(I16*J16,"")</f>
        <v>100</v>
      </c>
      <c r="L16" s="14">
        <v>2.5</v>
      </c>
      <c r="M16" s="14">
        <v>0</v>
      </c>
      <c r="N16" s="14">
        <v>1.5</v>
      </c>
      <c r="O16" s="15">
        <f>IFERROR(16/N16,"")</f>
        <v>10.666666666666666</v>
      </c>
      <c r="P16" s="14">
        <v>200</v>
      </c>
      <c r="Q16" s="14">
        <v>0</v>
      </c>
      <c r="R16" s="14" t="s">
        <v>192</v>
      </c>
      <c r="S16" s="14" t="s">
        <v>204</v>
      </c>
      <c r="T16" s="14"/>
      <c r="U16" s="14">
        <v>14</v>
      </c>
      <c r="V16" s="25">
        <v>34</v>
      </c>
      <c r="W16">
        <v>0.2</v>
      </c>
      <c r="X16">
        <v>1</v>
      </c>
      <c r="Y16">
        <v>0.3</v>
      </c>
    </row>
    <row r="17" spans="1:25" ht="36" x14ac:dyDescent="0.2">
      <c r="A17" s="11">
        <v>13</v>
      </c>
      <c r="B17" s="11" t="s">
        <v>105</v>
      </c>
      <c r="C17" s="12" t="s">
        <v>107</v>
      </c>
      <c r="D17" s="11" t="s">
        <v>98</v>
      </c>
      <c r="E17" s="11" t="s">
        <v>88</v>
      </c>
      <c r="F17" s="14">
        <v>10</v>
      </c>
      <c r="G17" s="14">
        <v>15</v>
      </c>
      <c r="H17" s="14">
        <v>300</v>
      </c>
      <c r="I17" s="14">
        <v>10</v>
      </c>
      <c r="J17" s="14">
        <v>10</v>
      </c>
      <c r="K17" s="15">
        <f>IFERROR(I17*J17,"")</f>
        <v>100</v>
      </c>
      <c r="L17" s="14">
        <v>2.5</v>
      </c>
      <c r="M17" s="14">
        <v>0</v>
      </c>
      <c r="N17" s="14">
        <v>1.5</v>
      </c>
      <c r="O17" s="15">
        <f>IFERROR(16/N17,"")</f>
        <v>10.666666666666666</v>
      </c>
      <c r="P17" s="14">
        <v>300</v>
      </c>
      <c r="Q17" s="14">
        <v>0</v>
      </c>
      <c r="R17" s="14" t="s">
        <v>193</v>
      </c>
      <c r="S17" s="14" t="s">
        <v>205</v>
      </c>
      <c r="T17" s="14" t="s">
        <v>250</v>
      </c>
      <c r="U17" s="14">
        <v>36</v>
      </c>
      <c r="V17" s="25">
        <v>46</v>
      </c>
      <c r="W17">
        <v>0.3</v>
      </c>
      <c r="X17">
        <v>0.3</v>
      </c>
      <c r="Y17">
        <v>1</v>
      </c>
    </row>
    <row r="18" spans="1:25" ht="36" x14ac:dyDescent="0.2">
      <c r="A18" s="11">
        <v>14</v>
      </c>
      <c r="B18" s="11" t="s">
        <v>190</v>
      </c>
      <c r="C18" s="12" t="s">
        <v>191</v>
      </c>
      <c r="D18" s="11" t="s">
        <v>81</v>
      </c>
      <c r="E18" s="11" t="s">
        <v>82</v>
      </c>
      <c r="F18" s="14">
        <v>8</v>
      </c>
      <c r="G18" s="14">
        <v>10</v>
      </c>
      <c r="H18" s="14">
        <v>100</v>
      </c>
      <c r="I18" s="14">
        <v>20</v>
      </c>
      <c r="J18" s="14">
        <v>10</v>
      </c>
      <c r="K18" s="15">
        <f>IFERROR(I18*J18,"")</f>
        <v>200</v>
      </c>
      <c r="L18" s="14">
        <v>2.5</v>
      </c>
      <c r="M18" s="14">
        <v>0</v>
      </c>
      <c r="N18" s="14">
        <v>0.5</v>
      </c>
      <c r="O18" s="15">
        <f>IFERROR(16/N18,"")</f>
        <v>32</v>
      </c>
      <c r="P18" s="14">
        <v>150</v>
      </c>
      <c r="Q18" s="14">
        <v>1</v>
      </c>
      <c r="R18" s="14"/>
      <c r="S18" s="14" t="s">
        <v>209</v>
      </c>
      <c r="T18" s="14"/>
      <c r="U18" s="14">
        <v>22</v>
      </c>
      <c r="V18" s="25">
        <v>40</v>
      </c>
      <c r="W18">
        <v>1</v>
      </c>
      <c r="X18">
        <v>0.1</v>
      </c>
      <c r="Y18">
        <v>0.1</v>
      </c>
    </row>
    <row r="20" spans="1:25" ht="36" x14ac:dyDescent="0.2">
      <c r="A20" s="16" t="s">
        <v>108</v>
      </c>
      <c r="B20" s="17" t="s">
        <v>109</v>
      </c>
      <c r="C20" s="16" t="s">
        <v>80</v>
      </c>
      <c r="D20" s="16" t="s">
        <v>81</v>
      </c>
      <c r="E20" s="16" t="s">
        <v>82</v>
      </c>
      <c r="F20" s="16">
        <v>0</v>
      </c>
      <c r="G20" s="16">
        <v>5</v>
      </c>
      <c r="H20" s="16">
        <v>400</v>
      </c>
      <c r="I20" s="16">
        <v>12</v>
      </c>
      <c r="J20" s="16">
        <v>1.5</v>
      </c>
      <c r="K20" s="16">
        <f>IFERROR(I20*J20,"")</f>
        <v>18</v>
      </c>
      <c r="L20" s="16">
        <v>3</v>
      </c>
      <c r="M20" s="16">
        <v>0</v>
      </c>
      <c r="N20" s="16">
        <v>0.35</v>
      </c>
      <c r="O20" s="16">
        <f>IFERROR(16/N20,"")</f>
        <v>45.714285714285715</v>
      </c>
      <c r="P20" s="16">
        <v>30</v>
      </c>
      <c r="Q20" s="16">
        <v>1</v>
      </c>
      <c r="R20" s="16" t="s">
        <v>110</v>
      </c>
      <c r="S20" s="16" t="s">
        <v>111</v>
      </c>
      <c r="T20" s="16"/>
      <c r="U20" s="16" t="s">
        <v>112</v>
      </c>
      <c r="V20" s="16"/>
    </row>
  </sheetData>
  <mergeCells count="2">
    <mergeCell ref="W3:Y3"/>
    <mergeCell ref="Z4:AA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zoomScaleNormal="100" workbookViewId="0">
      <pane xSplit="3" ySplit="4" topLeftCell="E6" activePane="bottomRight" state="frozen"/>
      <selection pane="bottomLeft" activeCell="A5" sqref="A5"/>
      <selection pane="topRight" activeCell="D1" sqref="D1"/>
      <selection pane="bottomRight" activeCell="K12" sqref="K12"/>
    </sheetView>
  </sheetViews>
  <sheetFormatPr defaultColWidth="8.7421875" defaultRowHeight="15" x14ac:dyDescent="0.2"/>
  <cols>
    <col min="1" max="1" width="4.03515625" customWidth="1"/>
    <col min="2" max="2" width="11.56640625" customWidth="1"/>
    <col min="3" max="3" width="12.375" customWidth="1"/>
    <col min="4" max="4" width="23.9453125" customWidth="1"/>
    <col min="5" max="5" width="18.0234375" customWidth="1"/>
    <col min="6" max="6" width="11.97265625" customWidth="1"/>
    <col min="7" max="7" width="23.9453125" customWidth="1"/>
    <col min="8" max="8" width="13.046875" customWidth="1"/>
    <col min="9" max="9" width="27.98046875" customWidth="1"/>
    <col min="10" max="10" width="11.8359375" customWidth="1"/>
    <col min="11" max="11" width="11.56640625" customWidth="1"/>
    <col min="12" max="12" width="14.52734375" customWidth="1"/>
  </cols>
  <sheetData>
    <row r="1" spans="1:12" ht="18" x14ac:dyDescent="0.2">
      <c r="A1" s="1" t="s">
        <v>113</v>
      </c>
    </row>
    <row r="2" spans="1:12" ht="27.75" customHeight="1" x14ac:dyDescent="0.2">
      <c r="A2" s="18" t="s">
        <v>114</v>
      </c>
    </row>
    <row r="4" spans="1:12" ht="33.75" customHeight="1" x14ac:dyDescent="0.2">
      <c r="A4" s="4" t="s">
        <v>59</v>
      </c>
      <c r="B4" s="4" t="s">
        <v>60</v>
      </c>
      <c r="C4" s="4" t="s">
        <v>61</v>
      </c>
      <c r="D4" s="4" t="s">
        <v>115</v>
      </c>
      <c r="E4" s="4" t="s">
        <v>116</v>
      </c>
      <c r="F4" s="4" t="s">
        <v>117</v>
      </c>
      <c r="G4" s="4" t="s">
        <v>118</v>
      </c>
      <c r="H4" s="4" t="s">
        <v>119</v>
      </c>
      <c r="I4" s="4" t="s">
        <v>120</v>
      </c>
      <c r="J4" s="4" t="s">
        <v>249</v>
      </c>
      <c r="K4" s="4" t="s">
        <v>252</v>
      </c>
      <c r="L4" s="24" t="s">
        <v>253</v>
      </c>
    </row>
    <row r="5" spans="1:12" ht="24.75" x14ac:dyDescent="0.2">
      <c r="A5" s="11">
        <v>1</v>
      </c>
      <c r="B5" s="11" t="s">
        <v>79</v>
      </c>
      <c r="C5" s="12" t="s">
        <v>80</v>
      </c>
      <c r="D5" s="12" t="s">
        <v>121</v>
      </c>
      <c r="E5" s="11" t="s">
        <v>82</v>
      </c>
      <c r="F5" s="14" t="s">
        <v>219</v>
      </c>
      <c r="G5" s="14" t="s">
        <v>220</v>
      </c>
      <c r="H5" s="14" t="s">
        <v>223</v>
      </c>
      <c r="I5" s="14"/>
      <c r="J5" s="14"/>
      <c r="K5" s="14">
        <v>0</v>
      </c>
      <c r="L5" s="25">
        <v>20</v>
      </c>
    </row>
    <row r="6" spans="1:12" ht="36" x14ac:dyDescent="0.2">
      <c r="A6" s="11">
        <v>2</v>
      </c>
      <c r="B6" s="11" t="s">
        <v>83</v>
      </c>
      <c r="C6" s="12" t="s">
        <v>84</v>
      </c>
      <c r="D6" s="12" t="s">
        <v>122</v>
      </c>
      <c r="E6" s="11" t="s">
        <v>85</v>
      </c>
      <c r="F6" s="14" t="s">
        <v>219</v>
      </c>
      <c r="G6" s="14" t="s">
        <v>221</v>
      </c>
      <c r="H6" s="14"/>
      <c r="I6" s="14"/>
      <c r="J6" s="14"/>
      <c r="K6" s="14">
        <v>4</v>
      </c>
      <c r="L6" s="25">
        <v>22</v>
      </c>
    </row>
    <row r="7" spans="1:12" x14ac:dyDescent="0.2">
      <c r="A7" s="11">
        <v>3</v>
      </c>
      <c r="B7" s="11" t="s">
        <v>86</v>
      </c>
      <c r="C7" s="12" t="s">
        <v>87</v>
      </c>
      <c r="D7" s="12" t="s">
        <v>121</v>
      </c>
      <c r="E7" s="11" t="s">
        <v>88</v>
      </c>
      <c r="F7" s="14" t="s">
        <v>128</v>
      </c>
      <c r="G7" s="14"/>
      <c r="H7" s="14"/>
      <c r="I7" s="14"/>
      <c r="J7" s="14"/>
      <c r="K7" s="14"/>
      <c r="L7" s="25"/>
    </row>
    <row r="8" spans="1:12" ht="24.75" x14ac:dyDescent="0.2">
      <c r="A8" s="11">
        <v>4</v>
      </c>
      <c r="B8" s="11" t="s">
        <v>89</v>
      </c>
      <c r="C8" s="12" t="s">
        <v>90</v>
      </c>
      <c r="D8" s="12" t="s">
        <v>123</v>
      </c>
      <c r="E8" s="11" t="s">
        <v>82</v>
      </c>
      <c r="F8" s="14" t="s">
        <v>219</v>
      </c>
      <c r="G8" s="14" t="s">
        <v>220</v>
      </c>
      <c r="H8" s="14"/>
      <c r="I8" s="14" t="s">
        <v>204</v>
      </c>
      <c r="J8" s="14"/>
      <c r="K8" s="14">
        <v>14</v>
      </c>
      <c r="L8" s="25">
        <v>36</v>
      </c>
    </row>
    <row r="9" spans="1:12" ht="24.75" x14ac:dyDescent="0.2">
      <c r="A9" s="11">
        <v>5</v>
      </c>
      <c r="B9" s="11" t="s">
        <v>92</v>
      </c>
      <c r="C9" s="12" t="s">
        <v>93</v>
      </c>
      <c r="D9" s="12" t="s">
        <v>124</v>
      </c>
      <c r="E9" s="11" t="s">
        <v>85</v>
      </c>
      <c r="F9" s="14" t="s">
        <v>219</v>
      </c>
      <c r="G9" s="14" t="s">
        <v>85</v>
      </c>
      <c r="H9" s="14"/>
      <c r="I9" s="14" t="s">
        <v>207</v>
      </c>
      <c r="J9" s="14"/>
      <c r="K9" s="14">
        <v>11</v>
      </c>
      <c r="L9" s="25">
        <v>34</v>
      </c>
    </row>
    <row r="10" spans="1:12" ht="24.75" x14ac:dyDescent="0.2">
      <c r="A10" s="11">
        <v>6</v>
      </c>
      <c r="B10" s="11" t="s">
        <v>94</v>
      </c>
      <c r="C10" s="12" t="s">
        <v>95</v>
      </c>
      <c r="D10" s="12" t="s">
        <v>125</v>
      </c>
      <c r="E10" s="11" t="s">
        <v>88</v>
      </c>
      <c r="F10" s="14" t="s">
        <v>219</v>
      </c>
      <c r="G10" s="14" t="s">
        <v>221</v>
      </c>
      <c r="H10" s="14"/>
      <c r="I10" s="14" t="s">
        <v>200</v>
      </c>
      <c r="J10" s="14"/>
      <c r="K10" s="14">
        <v>16</v>
      </c>
      <c r="L10" s="25">
        <v>32</v>
      </c>
    </row>
    <row r="11" spans="1:12" ht="24.75" x14ac:dyDescent="0.2">
      <c r="A11" s="11">
        <v>7</v>
      </c>
      <c r="B11" s="11" t="s">
        <v>190</v>
      </c>
      <c r="C11" s="12" t="s">
        <v>199</v>
      </c>
      <c r="D11" s="12" t="s">
        <v>126</v>
      </c>
      <c r="E11" s="11" t="s">
        <v>85</v>
      </c>
      <c r="F11" s="14" t="s">
        <v>219</v>
      </c>
      <c r="G11" s="14" t="s">
        <v>85</v>
      </c>
      <c r="H11" s="14"/>
      <c r="I11" s="14" t="s">
        <v>207</v>
      </c>
      <c r="J11" s="14"/>
      <c r="K11" s="14">
        <v>10</v>
      </c>
      <c r="L11" s="25">
        <v>28</v>
      </c>
    </row>
    <row r="12" spans="1:12" x14ac:dyDescent="0.2">
      <c r="A12" s="11">
        <v>8</v>
      </c>
      <c r="B12" s="11" t="s">
        <v>96</v>
      </c>
      <c r="C12" s="12" t="s">
        <v>97</v>
      </c>
      <c r="D12" s="12" t="s">
        <v>127</v>
      </c>
      <c r="E12" s="11" t="s">
        <v>82</v>
      </c>
      <c r="F12" s="19" t="s">
        <v>128</v>
      </c>
      <c r="G12" s="14"/>
      <c r="H12" s="14"/>
      <c r="I12" s="14"/>
      <c r="J12" s="14"/>
      <c r="K12" s="14"/>
      <c r="L12" s="25"/>
    </row>
    <row r="13" spans="1:12" x14ac:dyDescent="0.2">
      <c r="A13" s="11">
        <v>9</v>
      </c>
      <c r="B13" s="11" t="s">
        <v>99</v>
      </c>
      <c r="C13" s="12" t="s">
        <v>100</v>
      </c>
      <c r="D13" s="12" t="s">
        <v>127</v>
      </c>
      <c r="E13" s="11" t="s">
        <v>88</v>
      </c>
      <c r="F13" s="19" t="s">
        <v>128</v>
      </c>
      <c r="G13" s="14"/>
      <c r="H13" s="14"/>
      <c r="I13" s="14"/>
      <c r="J13" s="14"/>
      <c r="K13" s="14"/>
      <c r="L13" s="25"/>
    </row>
    <row r="14" spans="1:12" ht="24.75" x14ac:dyDescent="0.2">
      <c r="A14" s="11">
        <v>10</v>
      </c>
      <c r="B14" s="11" t="s">
        <v>101</v>
      </c>
      <c r="C14" s="12" t="s">
        <v>102</v>
      </c>
      <c r="D14" s="12" t="s">
        <v>129</v>
      </c>
      <c r="E14" s="11" t="s">
        <v>88</v>
      </c>
      <c r="F14" s="14" t="s">
        <v>128</v>
      </c>
      <c r="G14" s="14"/>
      <c r="H14" s="14"/>
      <c r="I14" s="14"/>
      <c r="J14" s="14"/>
      <c r="K14" s="14"/>
      <c r="L14" s="25"/>
    </row>
    <row r="15" spans="1:12" ht="24.75" x14ac:dyDescent="0.2">
      <c r="A15" s="11">
        <v>11</v>
      </c>
      <c r="B15" s="11" t="s">
        <v>103</v>
      </c>
      <c r="C15" s="12" t="s">
        <v>104</v>
      </c>
      <c r="D15" s="12" t="s">
        <v>121</v>
      </c>
      <c r="E15" s="11" t="s">
        <v>88</v>
      </c>
      <c r="F15" s="14" t="s">
        <v>219</v>
      </c>
      <c r="G15" s="14" t="s">
        <v>85</v>
      </c>
      <c r="H15" s="14"/>
      <c r="I15" s="14" t="s">
        <v>224</v>
      </c>
      <c r="J15" s="14" t="s">
        <v>250</v>
      </c>
      <c r="K15" s="14">
        <v>28</v>
      </c>
      <c r="L15" s="25">
        <v>42</v>
      </c>
    </row>
    <row r="16" spans="1:12" ht="24.75" x14ac:dyDescent="0.2">
      <c r="A16" s="11">
        <v>12</v>
      </c>
      <c r="B16" s="11" t="s">
        <v>105</v>
      </c>
      <c r="C16" s="12" t="s">
        <v>106</v>
      </c>
      <c r="D16" s="12" t="s">
        <v>130</v>
      </c>
      <c r="E16" s="11" t="s">
        <v>85</v>
      </c>
      <c r="F16" s="14" t="s">
        <v>128</v>
      </c>
      <c r="G16" s="14"/>
      <c r="H16" s="14"/>
      <c r="I16" s="14"/>
      <c r="J16" s="14"/>
      <c r="K16" s="14"/>
      <c r="L16" s="25"/>
    </row>
    <row r="17" spans="1:12" ht="24.75" x14ac:dyDescent="0.2">
      <c r="A17" s="11">
        <v>13</v>
      </c>
      <c r="B17" s="11" t="s">
        <v>105</v>
      </c>
      <c r="C17" s="12" t="s">
        <v>107</v>
      </c>
      <c r="D17" s="12" t="s">
        <v>131</v>
      </c>
      <c r="E17" s="11" t="s">
        <v>88</v>
      </c>
      <c r="F17" s="14" t="s">
        <v>128</v>
      </c>
      <c r="G17" s="14"/>
      <c r="H17" s="14"/>
      <c r="I17" s="14"/>
      <c r="J17" s="14"/>
      <c r="K17" s="14"/>
      <c r="L17" s="25"/>
    </row>
    <row r="18" spans="1:12" x14ac:dyDescent="0.2">
      <c r="A18" s="11">
        <v>14</v>
      </c>
      <c r="B18" s="11" t="s">
        <v>190</v>
      </c>
      <c r="C18" s="12" t="s">
        <v>191</v>
      </c>
      <c r="D18" s="12" t="s">
        <v>127</v>
      </c>
      <c r="E18" s="11" t="s">
        <v>82</v>
      </c>
      <c r="F18" s="19" t="s">
        <v>219</v>
      </c>
      <c r="G18" s="14" t="s">
        <v>222</v>
      </c>
      <c r="H18" s="14"/>
      <c r="I18" s="14" t="s">
        <v>225</v>
      </c>
      <c r="J18" s="14"/>
      <c r="K18" s="14">
        <v>22</v>
      </c>
      <c r="L18" s="25">
        <v>40</v>
      </c>
    </row>
    <row r="19" spans="1:12" x14ac:dyDescent="0.2">
      <c r="C19" s="12"/>
      <c r="D19" s="12"/>
      <c r="E19" s="11"/>
      <c r="F19" s="19"/>
      <c r="G19" s="14"/>
      <c r="H19" s="14"/>
      <c r="I19" s="14"/>
    </row>
    <row r="20" spans="1:12" ht="24.75" x14ac:dyDescent="0.2">
      <c r="A20" s="11">
        <v>16</v>
      </c>
      <c r="B20" s="17" t="s">
        <v>109</v>
      </c>
      <c r="C20" s="12"/>
      <c r="D20" s="12"/>
      <c r="E20" s="11"/>
      <c r="F20" s="14"/>
      <c r="G20" s="14"/>
      <c r="H20" s="14"/>
      <c r="I20" s="14"/>
      <c r="J20" s="16"/>
      <c r="K20" s="16" t="s">
        <v>112</v>
      </c>
      <c r="L20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"/>
  <sheetViews>
    <sheetView zoomScaleNormal="100" workbookViewId="0">
      <pane xSplit="2" ySplit="4" topLeftCell="Y5" activePane="bottomRight" state="frozen"/>
      <selection pane="bottomLeft" activeCell="A5" sqref="A5"/>
      <selection pane="topRight" activeCell="C1" sqref="C1"/>
      <selection pane="bottomRight" activeCell="E8" sqref="E8"/>
    </sheetView>
  </sheetViews>
  <sheetFormatPr defaultColWidth="8.7421875" defaultRowHeight="15" x14ac:dyDescent="0.2"/>
  <cols>
    <col min="1" max="1" width="16.94921875" customWidth="1"/>
    <col min="2" max="2" width="8.33984375" customWidth="1"/>
    <col min="3" max="3" width="13.046875" customWidth="1"/>
    <col min="4" max="4" width="14.9296875" customWidth="1"/>
    <col min="5" max="5" width="7.93359375" customWidth="1"/>
    <col min="6" max="8" width="9.01171875" customWidth="1"/>
    <col min="9" max="10" width="7.93359375" customWidth="1"/>
    <col min="11" max="11" width="11.97265625" customWidth="1"/>
    <col min="12" max="12" width="9.01171875" customWidth="1"/>
    <col min="13" max="13" width="25.9609375" customWidth="1"/>
    <col min="14" max="14" width="11.56640625" customWidth="1"/>
    <col min="15" max="15" width="14.52734375" customWidth="1"/>
  </cols>
  <sheetData>
    <row r="1" spans="1:18" ht="18" x14ac:dyDescent="0.2">
      <c r="A1" s="1" t="s">
        <v>132</v>
      </c>
    </row>
    <row r="2" spans="1:18" ht="27.75" customHeight="1" x14ac:dyDescent="0.2">
      <c r="A2" s="18" t="s">
        <v>133</v>
      </c>
    </row>
    <row r="3" spans="1:18" x14ac:dyDescent="0.2">
      <c r="P3" s="30" t="s">
        <v>195</v>
      </c>
      <c r="Q3" s="30"/>
      <c r="R3" s="30"/>
    </row>
    <row r="4" spans="1:18" ht="33.75" customHeight="1" x14ac:dyDescent="0.2">
      <c r="A4" s="4" t="s">
        <v>134</v>
      </c>
      <c r="B4" s="4" t="s">
        <v>61</v>
      </c>
      <c r="C4" s="4" t="s">
        <v>135</v>
      </c>
      <c r="D4" s="4" t="s">
        <v>136</v>
      </c>
      <c r="E4" s="4" t="s">
        <v>137</v>
      </c>
      <c r="F4" s="4" t="s">
        <v>66</v>
      </c>
      <c r="G4" s="4" t="s">
        <v>67</v>
      </c>
      <c r="H4" s="4" t="s">
        <v>138</v>
      </c>
      <c r="I4" s="4" t="s">
        <v>70</v>
      </c>
      <c r="J4" s="4" t="s">
        <v>71</v>
      </c>
      <c r="K4" s="4" t="s">
        <v>139</v>
      </c>
      <c r="L4" s="4" t="s">
        <v>140</v>
      </c>
      <c r="M4" s="4" t="s">
        <v>77</v>
      </c>
      <c r="N4" s="4" t="s">
        <v>252</v>
      </c>
      <c r="O4" s="24" t="s">
        <v>253</v>
      </c>
      <c r="P4" t="s">
        <v>196</v>
      </c>
      <c r="Q4" t="s">
        <v>197</v>
      </c>
      <c r="R4" t="s">
        <v>254</v>
      </c>
    </row>
    <row r="5" spans="1:18" ht="24.75" x14ac:dyDescent="0.2">
      <c r="A5" s="11" t="s">
        <v>105</v>
      </c>
      <c r="B5" s="12" t="s">
        <v>226</v>
      </c>
      <c r="C5" s="11" t="s">
        <v>235</v>
      </c>
      <c r="D5" s="11" t="s">
        <v>236</v>
      </c>
      <c r="E5" s="14">
        <v>5</v>
      </c>
      <c r="F5" s="14">
        <v>500</v>
      </c>
      <c r="G5" s="14">
        <v>0</v>
      </c>
      <c r="H5" s="14" t="s">
        <v>241</v>
      </c>
      <c r="I5" s="14">
        <v>0</v>
      </c>
      <c r="J5" s="14">
        <v>0</v>
      </c>
      <c r="K5" s="14"/>
      <c r="L5" s="14" t="s">
        <v>219</v>
      </c>
      <c r="M5" s="14" t="s">
        <v>243</v>
      </c>
      <c r="N5" s="14">
        <v>6</v>
      </c>
      <c r="O5" s="25">
        <v>32</v>
      </c>
    </row>
    <row r="6" spans="1:18" x14ac:dyDescent="0.2">
      <c r="A6" s="11" t="s">
        <v>105</v>
      </c>
      <c r="B6" s="12" t="s">
        <v>227</v>
      </c>
      <c r="C6" s="11" t="s">
        <v>142</v>
      </c>
      <c r="D6" s="11" t="s">
        <v>141</v>
      </c>
      <c r="E6" s="14">
        <v>5</v>
      </c>
      <c r="F6" s="14">
        <v>200</v>
      </c>
      <c r="G6" s="14">
        <v>0</v>
      </c>
      <c r="H6" s="14"/>
      <c r="I6" s="14">
        <v>1</v>
      </c>
      <c r="J6" s="14">
        <v>0</v>
      </c>
      <c r="K6" s="14" t="s">
        <v>242</v>
      </c>
      <c r="L6" s="14" t="s">
        <v>128</v>
      </c>
      <c r="M6" s="14" t="s">
        <v>243</v>
      </c>
      <c r="N6" s="14">
        <v>24</v>
      </c>
      <c r="O6" s="25">
        <v>38</v>
      </c>
      <c r="P6">
        <v>1</v>
      </c>
      <c r="Q6">
        <v>0.1</v>
      </c>
      <c r="R6">
        <v>0</v>
      </c>
    </row>
    <row r="7" spans="1:18" ht="24.75" x14ac:dyDescent="0.2">
      <c r="A7" s="11" t="s">
        <v>105</v>
      </c>
      <c r="B7" s="12" t="s">
        <v>228</v>
      </c>
      <c r="C7" s="11" t="s">
        <v>142</v>
      </c>
      <c r="D7" s="11" t="s">
        <v>237</v>
      </c>
      <c r="E7" s="14">
        <v>5</v>
      </c>
      <c r="F7" s="14">
        <v>200</v>
      </c>
      <c r="G7" s="14">
        <v>0</v>
      </c>
      <c r="H7" s="14"/>
      <c r="I7" s="14">
        <v>1</v>
      </c>
      <c r="J7" s="14">
        <v>0</v>
      </c>
      <c r="K7" s="14" t="s">
        <v>242</v>
      </c>
      <c r="L7" s="14" t="s">
        <v>128</v>
      </c>
      <c r="M7" s="14" t="s">
        <v>243</v>
      </c>
      <c r="N7" s="14">
        <v>20</v>
      </c>
      <c r="O7" s="25">
        <v>34</v>
      </c>
      <c r="P7">
        <v>0.1</v>
      </c>
      <c r="Q7">
        <v>1</v>
      </c>
      <c r="R7">
        <v>0</v>
      </c>
    </row>
    <row r="8" spans="1:18" ht="24.75" x14ac:dyDescent="0.2">
      <c r="A8" s="11" t="s">
        <v>105</v>
      </c>
      <c r="B8" s="12" t="s">
        <v>229</v>
      </c>
      <c r="C8" s="11" t="s">
        <v>239</v>
      </c>
      <c r="D8" s="11" t="s">
        <v>141</v>
      </c>
      <c r="E8" s="14">
        <v>8</v>
      </c>
      <c r="F8" s="14">
        <v>350</v>
      </c>
      <c r="G8" s="14">
        <v>15</v>
      </c>
      <c r="H8" s="14"/>
      <c r="I8" s="14">
        <v>2.5</v>
      </c>
      <c r="J8" s="14">
        <v>0</v>
      </c>
      <c r="K8" s="14"/>
      <c r="L8" s="14" t="s">
        <v>219</v>
      </c>
      <c r="M8" s="14" t="s">
        <v>243</v>
      </c>
      <c r="N8" s="14">
        <v>8</v>
      </c>
      <c r="O8" s="25">
        <v>30</v>
      </c>
      <c r="P8">
        <v>1</v>
      </c>
      <c r="Q8">
        <v>0.4</v>
      </c>
      <c r="R8">
        <v>0.6</v>
      </c>
    </row>
    <row r="9" spans="1:18" ht="24.75" x14ac:dyDescent="0.2">
      <c r="A9" s="11" t="s">
        <v>190</v>
      </c>
      <c r="B9" s="12" t="s">
        <v>230</v>
      </c>
      <c r="C9" s="11" t="s">
        <v>239</v>
      </c>
      <c r="D9" s="11" t="s">
        <v>237</v>
      </c>
      <c r="E9" s="14">
        <v>10</v>
      </c>
      <c r="F9" s="14">
        <v>350</v>
      </c>
      <c r="G9" s="14">
        <v>15</v>
      </c>
      <c r="H9" s="14"/>
      <c r="I9" s="14">
        <v>2.5</v>
      </c>
      <c r="J9" s="14">
        <v>0</v>
      </c>
      <c r="K9" s="14"/>
      <c r="L9" s="14" t="s">
        <v>219</v>
      </c>
      <c r="M9" s="14" t="s">
        <v>243</v>
      </c>
      <c r="N9" s="14">
        <v>18</v>
      </c>
      <c r="O9" s="25">
        <v>38</v>
      </c>
      <c r="P9">
        <v>0.6</v>
      </c>
      <c r="Q9">
        <v>1</v>
      </c>
      <c r="R9">
        <v>0</v>
      </c>
    </row>
    <row r="10" spans="1:18" ht="24.75" x14ac:dyDescent="0.2">
      <c r="A10" s="11" t="s">
        <v>105</v>
      </c>
      <c r="B10" s="12" t="s">
        <v>231</v>
      </c>
      <c r="C10" s="11" t="s">
        <v>239</v>
      </c>
      <c r="D10" s="11" t="s">
        <v>238</v>
      </c>
      <c r="E10" s="14">
        <v>10</v>
      </c>
      <c r="F10" s="14">
        <v>350</v>
      </c>
      <c r="G10" s="14">
        <v>15</v>
      </c>
      <c r="H10" s="14"/>
      <c r="I10" s="14">
        <v>2.5</v>
      </c>
      <c r="J10" s="14">
        <v>0</v>
      </c>
      <c r="K10" s="14"/>
      <c r="L10" s="14" t="s">
        <v>219</v>
      </c>
      <c r="M10" s="14" t="s">
        <v>243</v>
      </c>
      <c r="N10" s="14">
        <v>14</v>
      </c>
      <c r="O10" s="25">
        <v>34</v>
      </c>
      <c r="P10">
        <v>0</v>
      </c>
      <c r="Q10">
        <v>0</v>
      </c>
      <c r="R10">
        <v>1</v>
      </c>
    </row>
    <row r="11" spans="1:18" ht="24.75" x14ac:dyDescent="0.2">
      <c r="A11" s="11" t="s">
        <v>190</v>
      </c>
      <c r="B11" s="12" t="s">
        <v>232</v>
      </c>
      <c r="C11" s="11" t="s">
        <v>240</v>
      </c>
      <c r="D11" s="11" t="s">
        <v>141</v>
      </c>
      <c r="E11" s="14">
        <v>22</v>
      </c>
      <c r="F11" s="14">
        <v>200</v>
      </c>
      <c r="G11" s="14">
        <v>20</v>
      </c>
      <c r="H11" s="14"/>
      <c r="I11" s="14">
        <v>5.5</v>
      </c>
      <c r="J11" s="14">
        <v>3.5</v>
      </c>
      <c r="K11" s="14"/>
      <c r="L11" s="14" t="s">
        <v>219</v>
      </c>
      <c r="M11" s="14" t="s">
        <v>244</v>
      </c>
      <c r="N11" s="14">
        <v>26</v>
      </c>
      <c r="O11" s="25">
        <v>42</v>
      </c>
      <c r="P11">
        <v>1</v>
      </c>
      <c r="Q11">
        <v>0.3</v>
      </c>
      <c r="R11">
        <v>0.4</v>
      </c>
    </row>
    <row r="12" spans="1:18" ht="24.75" x14ac:dyDescent="0.2">
      <c r="A12" s="11"/>
      <c r="B12" s="12" t="s">
        <v>233</v>
      </c>
      <c r="C12" s="11" t="s">
        <v>240</v>
      </c>
      <c r="D12" s="11" t="s">
        <v>237</v>
      </c>
      <c r="E12" s="14">
        <v>30</v>
      </c>
      <c r="F12" s="14">
        <v>200</v>
      </c>
      <c r="G12" s="14">
        <v>20</v>
      </c>
      <c r="H12" s="14"/>
      <c r="I12" s="14">
        <v>5.5</v>
      </c>
      <c r="J12" s="14">
        <v>3.5</v>
      </c>
      <c r="K12" s="14"/>
      <c r="L12" s="14" t="s">
        <v>219</v>
      </c>
      <c r="M12" s="14" t="s">
        <v>244</v>
      </c>
      <c r="N12" s="14">
        <v>30</v>
      </c>
      <c r="O12" s="25">
        <v>44</v>
      </c>
      <c r="P12">
        <v>0.3</v>
      </c>
      <c r="Q12">
        <v>1</v>
      </c>
      <c r="R12">
        <v>0</v>
      </c>
    </row>
    <row r="13" spans="1:18" ht="24.75" x14ac:dyDescent="0.2">
      <c r="B13" t="s">
        <v>234</v>
      </c>
      <c r="C13" s="11" t="s">
        <v>240</v>
      </c>
      <c r="D13" s="11" t="s">
        <v>238</v>
      </c>
      <c r="E13">
        <v>30</v>
      </c>
      <c r="F13">
        <v>200</v>
      </c>
      <c r="G13">
        <v>20</v>
      </c>
      <c r="I13">
        <v>5.5</v>
      </c>
      <c r="J13">
        <v>3.5</v>
      </c>
      <c r="L13" t="s">
        <v>219</v>
      </c>
      <c r="M13" t="s">
        <v>244</v>
      </c>
      <c r="N13" s="14">
        <v>32</v>
      </c>
      <c r="O13" s="25">
        <v>46</v>
      </c>
      <c r="P13">
        <v>0</v>
      </c>
      <c r="Q13">
        <v>0</v>
      </c>
      <c r="R13">
        <v>1</v>
      </c>
    </row>
    <row r="14" spans="1:18" x14ac:dyDescent="0.2">
      <c r="N14" s="14"/>
      <c r="O14" s="25"/>
    </row>
    <row r="15" spans="1:18" x14ac:dyDescent="0.2">
      <c r="N15" s="14"/>
      <c r="O15" s="25"/>
    </row>
    <row r="16" spans="1:18" x14ac:dyDescent="0.2">
      <c r="N16" s="14"/>
      <c r="O16" s="25"/>
    </row>
    <row r="17" spans="14:15" x14ac:dyDescent="0.2">
      <c r="N17" s="14"/>
      <c r="O17" s="25"/>
    </row>
    <row r="18" spans="14:15" x14ac:dyDescent="0.2">
      <c r="N18" s="14"/>
      <c r="O18" s="25"/>
    </row>
    <row r="20" spans="14:15" ht="24.75" x14ac:dyDescent="0.2">
      <c r="N20" s="16" t="s">
        <v>112</v>
      </c>
      <c r="O20" s="16"/>
    </row>
  </sheetData>
  <mergeCells count="1">
    <mergeCell ref="P3:R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9"/>
  <sheetViews>
    <sheetView zoomScaleNormal="100" workbookViewId="0">
      <pane xSplit="2" ySplit="5" topLeftCell="C6" activePane="bottomRight" state="frozen"/>
      <selection pane="bottomLeft" activeCell="A6" sqref="A6"/>
      <selection pane="topRight" activeCell="C1" sqref="C1"/>
      <selection pane="bottomRight" activeCell="A19" sqref="A19"/>
    </sheetView>
  </sheetViews>
  <sheetFormatPr defaultColWidth="8.7421875" defaultRowHeight="15" x14ac:dyDescent="0.2"/>
  <cols>
    <col min="1" max="1" width="10.4921875" customWidth="1"/>
    <col min="2" max="2" width="22.05859375" customWidth="1"/>
    <col min="3" max="3" width="25.9609375" customWidth="1"/>
    <col min="4" max="6" width="7.93359375" customWidth="1"/>
    <col min="7" max="10" width="9.01171875" customWidth="1"/>
    <col min="11" max="14" width="9.953125" customWidth="1"/>
    <col min="15" max="15" width="29.99609375" customWidth="1"/>
  </cols>
  <sheetData>
    <row r="1" spans="1:15" ht="18" x14ac:dyDescent="0.2">
      <c r="A1" s="1" t="s">
        <v>143</v>
      </c>
    </row>
    <row r="2" spans="1:15" ht="27.75" customHeight="1" x14ac:dyDescent="0.2">
      <c r="A2" s="18" t="s">
        <v>144</v>
      </c>
    </row>
    <row r="3" spans="1:15" x14ac:dyDescent="0.2">
      <c r="A3" s="10" t="s">
        <v>145</v>
      </c>
    </row>
    <row r="5" spans="1:15" ht="33.75" customHeight="1" x14ac:dyDescent="0.2">
      <c r="A5" s="4" t="s">
        <v>146</v>
      </c>
      <c r="B5" s="4" t="s">
        <v>61</v>
      </c>
      <c r="C5" s="4" t="s">
        <v>147</v>
      </c>
      <c r="D5" s="4" t="s">
        <v>148</v>
      </c>
      <c r="E5" s="4" t="s">
        <v>149</v>
      </c>
      <c r="F5" s="4" t="s">
        <v>150</v>
      </c>
      <c r="G5" s="4" t="s">
        <v>151</v>
      </c>
      <c r="H5" s="4" t="s">
        <v>152</v>
      </c>
      <c r="I5" s="4" t="s">
        <v>153</v>
      </c>
      <c r="J5" s="4" t="s">
        <v>261</v>
      </c>
      <c r="K5" s="4" t="s">
        <v>154</v>
      </c>
      <c r="L5" s="4" t="s">
        <v>155</v>
      </c>
      <c r="M5" s="4"/>
      <c r="N5" s="4" t="s">
        <v>156</v>
      </c>
      <c r="O5" s="4" t="s">
        <v>78</v>
      </c>
    </row>
    <row r="6" spans="1:15" x14ac:dyDescent="0.2">
      <c r="A6" s="11" t="s">
        <v>157</v>
      </c>
      <c r="B6" s="12" t="s">
        <v>158</v>
      </c>
      <c r="C6" s="11" t="s">
        <v>159</v>
      </c>
      <c r="D6" s="29">
        <v>0.3</v>
      </c>
      <c r="E6" s="29">
        <v>0.3</v>
      </c>
      <c r="F6" s="29">
        <v>0.3</v>
      </c>
      <c r="G6" s="14">
        <v>2</v>
      </c>
      <c r="H6" s="14">
        <v>0.5</v>
      </c>
      <c r="I6" s="14">
        <v>0.5</v>
      </c>
      <c r="J6" s="14"/>
      <c r="K6" s="20">
        <f>IFERROR(G6*H6,"")</f>
        <v>1</v>
      </c>
      <c r="L6" s="20">
        <f>IFERROR(G6*I6,"")</f>
        <v>1</v>
      </c>
      <c r="M6" s="20"/>
      <c r="N6" s="12" t="s">
        <v>160</v>
      </c>
      <c r="O6" s="21"/>
    </row>
    <row r="7" spans="1:15" ht="24.75" x14ac:dyDescent="0.2">
      <c r="A7" s="11" t="s">
        <v>161</v>
      </c>
      <c r="B7" s="12" t="s">
        <v>162</v>
      </c>
      <c r="C7" s="11" t="s">
        <v>163</v>
      </c>
      <c r="D7" s="14">
        <v>1</v>
      </c>
      <c r="E7" s="14">
        <v>1</v>
      </c>
      <c r="F7" s="14">
        <v>1</v>
      </c>
      <c r="G7" s="14">
        <v>1</v>
      </c>
      <c r="H7" s="14">
        <v>1</v>
      </c>
      <c r="I7" s="14"/>
      <c r="J7" s="14"/>
      <c r="K7" s="20">
        <f>IFERROR(G7*H7,"")</f>
        <v>1</v>
      </c>
      <c r="L7" s="20">
        <f>IFERROR(G7*I7,"")</f>
        <v>0</v>
      </c>
      <c r="M7" s="20"/>
      <c r="N7" s="12" t="s">
        <v>164</v>
      </c>
      <c r="O7" s="21"/>
    </row>
    <row r="8" spans="1:15" x14ac:dyDescent="0.2">
      <c r="A8" s="11" t="s">
        <v>105</v>
      </c>
      <c r="B8" s="12" t="s">
        <v>165</v>
      </c>
      <c r="C8" s="11" t="s">
        <v>166</v>
      </c>
      <c r="D8" s="29">
        <v>0.3</v>
      </c>
      <c r="E8" s="29">
        <v>0.3</v>
      </c>
      <c r="F8" s="29">
        <v>0.3</v>
      </c>
      <c r="G8" s="14">
        <v>3</v>
      </c>
      <c r="H8" s="14"/>
      <c r="I8" s="14"/>
      <c r="J8" s="14">
        <v>1</v>
      </c>
      <c r="K8" s="20">
        <f>IFERROR(G8*H8,"")</f>
        <v>0</v>
      </c>
      <c r="L8" s="20">
        <f>IFERROR(G8*I8,"")</f>
        <v>0</v>
      </c>
      <c r="M8" s="20"/>
      <c r="N8" s="12" t="s">
        <v>167</v>
      </c>
      <c r="O8" s="21"/>
    </row>
    <row r="9" spans="1:15" x14ac:dyDescent="0.2">
      <c r="A9" s="11" t="s">
        <v>105</v>
      </c>
      <c r="B9" s="12" t="s">
        <v>168</v>
      </c>
      <c r="C9" s="11" t="s">
        <v>169</v>
      </c>
      <c r="D9" s="29">
        <v>0.2</v>
      </c>
      <c r="E9" s="29">
        <v>0.2</v>
      </c>
      <c r="F9" s="29">
        <v>0.2</v>
      </c>
      <c r="G9" s="14">
        <v>3</v>
      </c>
      <c r="H9" s="14">
        <v>1</v>
      </c>
      <c r="I9" s="14"/>
      <c r="J9" s="14"/>
      <c r="K9" s="20">
        <f>IFERROR(G9*H9,"")</f>
        <v>3</v>
      </c>
      <c r="L9" s="20">
        <f>IFERROR(G9*I9,"")</f>
        <v>0</v>
      </c>
      <c r="M9" s="20"/>
      <c r="N9" s="12" t="s">
        <v>160</v>
      </c>
      <c r="O9" s="21"/>
    </row>
    <row r="10" spans="1:15" x14ac:dyDescent="0.2">
      <c r="A10" s="11" t="s">
        <v>105</v>
      </c>
      <c r="B10" s="12" t="s">
        <v>170</v>
      </c>
      <c r="C10" s="11" t="s">
        <v>171</v>
      </c>
      <c r="D10" s="29">
        <v>0.2</v>
      </c>
      <c r="E10" s="29">
        <v>0.2</v>
      </c>
      <c r="F10" s="29">
        <v>0.2</v>
      </c>
      <c r="G10" s="14">
        <v>3</v>
      </c>
      <c r="H10" s="14"/>
      <c r="I10" s="14">
        <v>1</v>
      </c>
      <c r="J10" s="14"/>
      <c r="K10" s="20">
        <f>IFERROR(G10*H10,"")</f>
        <v>0</v>
      </c>
      <c r="L10" s="20">
        <f>IFERROR(G10*I10,"")</f>
        <v>3</v>
      </c>
      <c r="M10" s="20"/>
      <c r="N10" s="12" t="s">
        <v>160</v>
      </c>
      <c r="O10" s="21"/>
    </row>
    <row r="11" spans="1:15" ht="24.75" x14ac:dyDescent="0.2">
      <c r="A11" s="11" t="s">
        <v>105</v>
      </c>
      <c r="B11" s="12" t="s">
        <v>262</v>
      </c>
      <c r="C11" s="11" t="s">
        <v>263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/>
      <c r="J11" s="14"/>
      <c r="K11" s="20">
        <f>IFERROR(G11*H11,"")</f>
        <v>1</v>
      </c>
      <c r="L11" s="20">
        <f>IFERROR(G11*I11,"")</f>
        <v>0</v>
      </c>
      <c r="M11" s="20"/>
      <c r="N11" s="12" t="s">
        <v>164</v>
      </c>
      <c r="O11" s="21"/>
    </row>
    <row r="12" spans="1:15" x14ac:dyDescent="0.2">
      <c r="A12" s="22" t="s">
        <v>172</v>
      </c>
      <c r="D12" s="23">
        <f>SUM(D6:D11)</f>
        <v>3</v>
      </c>
      <c r="E12" s="23">
        <f>SUM(E6:E11)</f>
        <v>3</v>
      </c>
      <c r="F12" s="23">
        <f>SUM(F6:F11)</f>
        <v>3</v>
      </c>
    </row>
    <row r="13" spans="1:15" x14ac:dyDescent="0.2">
      <c r="D13">
        <f>D6+D8+D10+D9</f>
        <v>1</v>
      </c>
      <c r="E13">
        <f>E6+E8+E10+E9</f>
        <v>1</v>
      </c>
      <c r="F13">
        <f>F6+F8+F10+F9</f>
        <v>1</v>
      </c>
    </row>
    <row r="14" spans="1:15" x14ac:dyDescent="0.2">
      <c r="A14" s="10" t="s">
        <v>173</v>
      </c>
    </row>
    <row r="16" spans="1:15" x14ac:dyDescent="0.2">
      <c r="A16" t="s">
        <v>265</v>
      </c>
    </row>
    <row r="17" spans="1:2" x14ac:dyDescent="0.2">
      <c r="A17" t="s">
        <v>266</v>
      </c>
      <c r="B17" t="s">
        <v>267</v>
      </c>
    </row>
    <row r="18" spans="1:2" x14ac:dyDescent="0.2">
      <c r="A18" t="s">
        <v>268</v>
      </c>
      <c r="B18" t="s">
        <v>269</v>
      </c>
    </row>
    <row r="19" spans="1:2" x14ac:dyDescent="0.2">
      <c r="A19" t="s">
        <v>270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4"/>
  <sheetViews>
    <sheetView tabSelected="1" zoomScaleNormal="100" workbookViewId="0">
      <pane xSplit="2" ySplit="4" topLeftCell="G5" activePane="bottomRight" state="frozen"/>
      <selection pane="bottomLeft" activeCell="A5" sqref="A5"/>
      <selection pane="topRight" activeCell="C1" sqref="C1"/>
      <selection pane="bottomRight" activeCell="H28" sqref="H28"/>
    </sheetView>
  </sheetViews>
  <sheetFormatPr defaultColWidth="8.7421875" defaultRowHeight="15" x14ac:dyDescent="0.2"/>
  <cols>
    <col min="1" max="1" width="9.01171875" customWidth="1"/>
    <col min="2" max="2" width="10.76171875" customWidth="1"/>
    <col min="3" max="3" width="13.046875" customWidth="1"/>
    <col min="4" max="4" width="11.97265625" customWidth="1"/>
    <col min="5" max="6" width="9.01171875" customWidth="1"/>
    <col min="7" max="8" width="11.97265625" customWidth="1"/>
    <col min="9" max="9" width="13.98828125" customWidth="1"/>
    <col min="10" max="10" width="34.03125" customWidth="1"/>
  </cols>
  <sheetData>
    <row r="1" spans="1:10" ht="18" x14ac:dyDescent="0.2">
      <c r="A1" s="1" t="s">
        <v>174</v>
      </c>
    </row>
    <row r="2" spans="1:10" ht="27.75" customHeight="1" x14ac:dyDescent="0.2">
      <c r="A2" s="18" t="s">
        <v>175</v>
      </c>
    </row>
    <row r="4" spans="1:10" ht="33.75" customHeight="1" x14ac:dyDescent="0.2">
      <c r="A4" s="4" t="s">
        <v>176</v>
      </c>
      <c r="B4" s="4" t="s">
        <v>177</v>
      </c>
      <c r="C4" s="4" t="s">
        <v>178</v>
      </c>
      <c r="D4" s="4" t="s">
        <v>179</v>
      </c>
      <c r="E4" s="4" t="s">
        <v>180</v>
      </c>
      <c r="F4" s="4" t="s">
        <v>256</v>
      </c>
      <c r="G4" s="4" t="s">
        <v>181</v>
      </c>
      <c r="H4" s="4" t="s">
        <v>182</v>
      </c>
      <c r="I4" s="4" t="s">
        <v>183</v>
      </c>
      <c r="J4" s="4" t="s">
        <v>78</v>
      </c>
    </row>
    <row r="5" spans="1:10" ht="36" x14ac:dyDescent="0.2">
      <c r="A5" s="11">
        <v>5</v>
      </c>
      <c r="B5" s="11" t="s">
        <v>148</v>
      </c>
      <c r="C5" s="14">
        <v>8</v>
      </c>
      <c r="D5" s="14">
        <v>3</v>
      </c>
      <c r="E5" s="20">
        <f>IFERROR(D5/C5,"")</f>
        <v>0.375</v>
      </c>
      <c r="F5" s="26">
        <f>C5/ 72</f>
        <v>0.1111111111111111</v>
      </c>
      <c r="G5" s="27">
        <f>(F5/6)*100</f>
        <v>1.8518518518518516</v>
      </c>
      <c r="H5" s="29">
        <f>G5/10</f>
        <v>0.18518518518518517</v>
      </c>
      <c r="I5" s="14" t="s">
        <v>255</v>
      </c>
      <c r="J5" s="14" t="s">
        <v>257</v>
      </c>
    </row>
    <row r="6" spans="1:10" x14ac:dyDescent="0.2">
      <c r="A6" s="11">
        <v>5</v>
      </c>
      <c r="B6" s="11" t="s">
        <v>184</v>
      </c>
      <c r="C6" s="14">
        <v>10</v>
      </c>
      <c r="D6" s="14">
        <v>5</v>
      </c>
      <c r="E6" s="20">
        <f>IFERROR(D6/C6,"")</f>
        <v>0.5</v>
      </c>
      <c r="F6" s="26">
        <f>C6/ 72</f>
        <v>0.1388888888888889</v>
      </c>
      <c r="G6" s="27">
        <f>(F6/6)*100</f>
        <v>2.3148148148148149</v>
      </c>
      <c r="H6" s="29">
        <f t="shared" ref="H6:H24" si="0">G6/10</f>
        <v>0.23148148148148148</v>
      </c>
      <c r="I6" s="14"/>
      <c r="J6" s="14"/>
    </row>
    <row r="7" spans="1:10" x14ac:dyDescent="0.2">
      <c r="A7" s="11">
        <v>10</v>
      </c>
      <c r="B7" s="11" t="s">
        <v>148</v>
      </c>
      <c r="C7" s="14">
        <v>11</v>
      </c>
      <c r="D7" s="14">
        <v>8</v>
      </c>
      <c r="E7" s="20">
        <f>IFERROR(D7/C7,"")</f>
        <v>0.72727272727272729</v>
      </c>
      <c r="F7" s="26">
        <f>C7/ 72</f>
        <v>0.15277777777777779</v>
      </c>
      <c r="G7" s="27">
        <f>(F7/6)*100</f>
        <v>2.5462962962962967</v>
      </c>
      <c r="H7" s="29">
        <f t="shared" si="0"/>
        <v>0.25462962962962965</v>
      </c>
      <c r="I7" s="14"/>
      <c r="J7" s="14"/>
    </row>
    <row r="8" spans="1:10" x14ac:dyDescent="0.2">
      <c r="A8" s="11">
        <v>10</v>
      </c>
      <c r="B8" s="11" t="s">
        <v>184</v>
      </c>
      <c r="C8" s="14">
        <v>13</v>
      </c>
      <c r="D8" s="14">
        <v>10</v>
      </c>
      <c r="E8" s="20">
        <f>IFERROR(D8/C8,"")</f>
        <v>0.76923076923076927</v>
      </c>
      <c r="F8" s="26">
        <f>C8/ 72</f>
        <v>0.18055555555555555</v>
      </c>
      <c r="G8" s="27">
        <f>(F8/6)*100</f>
        <v>3.0092592592592591</v>
      </c>
      <c r="H8" s="29">
        <f t="shared" si="0"/>
        <v>0.30092592592592593</v>
      </c>
      <c r="I8" s="14"/>
      <c r="J8" s="14"/>
    </row>
    <row r="9" spans="1:10" x14ac:dyDescent="0.2">
      <c r="A9" s="11">
        <v>15</v>
      </c>
      <c r="B9" s="11" t="s">
        <v>148</v>
      </c>
      <c r="C9" s="14">
        <v>14</v>
      </c>
      <c r="D9" s="14">
        <v>12</v>
      </c>
      <c r="E9" s="20">
        <f>IFERROR(D9/C9,"")</f>
        <v>0.8571428571428571</v>
      </c>
      <c r="F9" s="26">
        <f>C9/ 72</f>
        <v>0.19444444444444445</v>
      </c>
      <c r="G9" s="27">
        <f>(F9/6)*100</f>
        <v>3.2407407407407405</v>
      </c>
      <c r="H9" s="29">
        <f t="shared" si="0"/>
        <v>0.32407407407407407</v>
      </c>
      <c r="I9" s="14"/>
      <c r="J9" s="14"/>
    </row>
    <row r="10" spans="1:10" x14ac:dyDescent="0.2">
      <c r="A10" s="11">
        <v>15</v>
      </c>
      <c r="B10" s="11" t="s">
        <v>184</v>
      </c>
      <c r="C10" s="14">
        <v>19</v>
      </c>
      <c r="D10" s="14">
        <v>18</v>
      </c>
      <c r="E10" s="20">
        <f>IFERROR(D10/C10,"")</f>
        <v>0.94736842105263153</v>
      </c>
      <c r="F10" s="26">
        <f>C10/ 72</f>
        <v>0.2638888888888889</v>
      </c>
      <c r="G10" s="27">
        <f>(F10/6)*100</f>
        <v>4.3981481481481479</v>
      </c>
      <c r="H10" s="29">
        <f t="shared" si="0"/>
        <v>0.43981481481481477</v>
      </c>
      <c r="I10" s="14"/>
      <c r="J10" s="14"/>
    </row>
    <row r="11" spans="1:10" x14ac:dyDescent="0.2">
      <c r="A11" s="11">
        <v>20</v>
      </c>
      <c r="B11" s="11" t="s">
        <v>148</v>
      </c>
      <c r="C11" s="14">
        <v>16</v>
      </c>
      <c r="D11" s="14">
        <v>15</v>
      </c>
      <c r="E11" s="20">
        <f>IFERROR(D11/C11,"")</f>
        <v>0.9375</v>
      </c>
      <c r="F11" s="26">
        <f>C11/ 72</f>
        <v>0.22222222222222221</v>
      </c>
      <c r="G11" s="27">
        <f>(F11/6)*100</f>
        <v>3.7037037037037033</v>
      </c>
      <c r="H11" s="29">
        <f t="shared" si="0"/>
        <v>0.37037037037037035</v>
      </c>
      <c r="I11" s="14"/>
      <c r="J11" s="14"/>
    </row>
    <row r="12" spans="1:10" x14ac:dyDescent="0.2">
      <c r="A12" s="11">
        <v>20</v>
      </c>
      <c r="B12" s="11" t="s">
        <v>184</v>
      </c>
      <c r="C12" s="14">
        <v>24</v>
      </c>
      <c r="D12" s="14">
        <v>23</v>
      </c>
      <c r="E12" s="20">
        <f>IFERROR(D12/C12,"")</f>
        <v>0.95833333333333337</v>
      </c>
      <c r="F12" s="26">
        <f>C12/ 72</f>
        <v>0.33333333333333331</v>
      </c>
      <c r="G12" s="27">
        <f>(F12/6)*100</f>
        <v>5.5555555555555554</v>
      </c>
      <c r="H12" s="29">
        <f t="shared" si="0"/>
        <v>0.55555555555555558</v>
      </c>
      <c r="I12" s="14"/>
      <c r="J12" s="14"/>
    </row>
    <row r="13" spans="1:10" x14ac:dyDescent="0.2">
      <c r="A13" s="11">
        <v>25</v>
      </c>
      <c r="B13" s="11" t="s">
        <v>148</v>
      </c>
      <c r="C13" s="14">
        <v>18</v>
      </c>
      <c r="D13" s="14">
        <v>18</v>
      </c>
      <c r="E13" s="20">
        <f>IFERROR(D13/C13,"")</f>
        <v>1</v>
      </c>
      <c r="F13" s="26">
        <f>C13/ 72</f>
        <v>0.25</v>
      </c>
      <c r="G13" s="27">
        <f>(F13/6)*100</f>
        <v>4.1666666666666661</v>
      </c>
      <c r="H13" s="29">
        <f t="shared" si="0"/>
        <v>0.41666666666666663</v>
      </c>
      <c r="I13" s="14"/>
      <c r="J13" s="14"/>
    </row>
    <row r="14" spans="1:10" x14ac:dyDescent="0.2">
      <c r="A14" s="11">
        <v>25</v>
      </c>
      <c r="B14" s="11" t="s">
        <v>184</v>
      </c>
      <c r="C14" s="14">
        <v>28</v>
      </c>
      <c r="D14" s="14">
        <v>28</v>
      </c>
      <c r="E14" s="20">
        <f>IFERROR(D14/C14,"")</f>
        <v>1</v>
      </c>
      <c r="F14" s="26">
        <f>C14/ 72</f>
        <v>0.3888888888888889</v>
      </c>
      <c r="G14" s="27">
        <f>(F14/6)*100</f>
        <v>6.481481481481481</v>
      </c>
      <c r="H14" s="29">
        <f t="shared" si="0"/>
        <v>0.64814814814814814</v>
      </c>
      <c r="I14" s="14"/>
      <c r="J14" s="14"/>
    </row>
    <row r="15" spans="1:10" x14ac:dyDescent="0.2">
      <c r="A15" s="11">
        <v>30</v>
      </c>
      <c r="B15" s="11" t="s">
        <v>148</v>
      </c>
      <c r="C15" s="14">
        <v>21</v>
      </c>
      <c r="D15" s="14">
        <v>21</v>
      </c>
      <c r="E15" s="20">
        <f>IFERROR(D15/C15,"")</f>
        <v>1</v>
      </c>
      <c r="F15" s="26">
        <f>C15/ 72</f>
        <v>0.29166666666666669</v>
      </c>
      <c r="G15" s="27">
        <f>(F15/6)*100</f>
        <v>4.8611111111111116</v>
      </c>
      <c r="H15" s="29">
        <f t="shared" si="0"/>
        <v>0.48611111111111116</v>
      </c>
      <c r="I15" s="14"/>
      <c r="J15" s="14"/>
    </row>
    <row r="16" spans="1:10" x14ac:dyDescent="0.2">
      <c r="A16" s="11">
        <v>30</v>
      </c>
      <c r="B16" s="11" t="s">
        <v>184</v>
      </c>
      <c r="C16" s="14">
        <v>31</v>
      </c>
      <c r="D16" s="14">
        <v>31</v>
      </c>
      <c r="E16" s="20">
        <f>IFERROR(D16/C16,"")</f>
        <v>1</v>
      </c>
      <c r="F16" s="26">
        <f>C16/ 72</f>
        <v>0.43055555555555558</v>
      </c>
      <c r="G16" s="27">
        <f>(F16/6)*100</f>
        <v>7.1759259259259256</v>
      </c>
      <c r="H16" s="29">
        <f t="shared" si="0"/>
        <v>0.71759259259259256</v>
      </c>
      <c r="I16" s="14"/>
      <c r="J16" s="14"/>
    </row>
    <row r="17" spans="1:10" x14ac:dyDescent="0.2">
      <c r="A17" s="11">
        <v>35</v>
      </c>
      <c r="B17" s="11" t="s">
        <v>148</v>
      </c>
      <c r="C17" s="14">
        <v>23</v>
      </c>
      <c r="D17" s="14">
        <v>23</v>
      </c>
      <c r="E17" s="20">
        <f>IFERROR(D17/C17,"")</f>
        <v>1</v>
      </c>
      <c r="F17" s="26">
        <f>C17/ 72</f>
        <v>0.31944444444444442</v>
      </c>
      <c r="G17" s="27">
        <f>(F17/6)*100</f>
        <v>5.3240740740740735</v>
      </c>
      <c r="H17" s="29">
        <f t="shared" si="0"/>
        <v>0.53240740740740733</v>
      </c>
      <c r="I17" s="14"/>
      <c r="J17" s="14"/>
    </row>
    <row r="18" spans="1:10" x14ac:dyDescent="0.2">
      <c r="A18" s="11">
        <v>35</v>
      </c>
      <c r="B18" s="11" t="s">
        <v>184</v>
      </c>
      <c r="C18" s="14">
        <v>33</v>
      </c>
      <c r="D18" s="14">
        <v>33</v>
      </c>
      <c r="E18" s="20">
        <f>IFERROR(D18/C18,"")</f>
        <v>1</v>
      </c>
      <c r="F18" s="26">
        <f>C18/ 72</f>
        <v>0.45833333333333331</v>
      </c>
      <c r="G18" s="27">
        <f>(F18/6)*100</f>
        <v>7.6388888888888884</v>
      </c>
      <c r="H18" s="29">
        <f t="shared" si="0"/>
        <v>0.76388888888888884</v>
      </c>
      <c r="I18" s="14"/>
      <c r="J18" s="14"/>
    </row>
    <row r="19" spans="1:10" x14ac:dyDescent="0.2">
      <c r="A19" s="11">
        <v>40</v>
      </c>
      <c r="B19" s="11" t="s">
        <v>148</v>
      </c>
      <c r="C19" s="14">
        <v>25</v>
      </c>
      <c r="D19" s="14">
        <v>25</v>
      </c>
      <c r="E19" s="20">
        <f>IFERROR(D19/C19,"")</f>
        <v>1</v>
      </c>
      <c r="F19" s="26">
        <f>C19/ 72</f>
        <v>0.34722222222222221</v>
      </c>
      <c r="G19" s="27">
        <f>(F19/6)*100</f>
        <v>5.7870370370370372</v>
      </c>
      <c r="H19" s="29">
        <f t="shared" si="0"/>
        <v>0.57870370370370372</v>
      </c>
      <c r="I19" s="14"/>
      <c r="J19" s="14"/>
    </row>
    <row r="20" spans="1:10" x14ac:dyDescent="0.2">
      <c r="A20" s="11">
        <v>40</v>
      </c>
      <c r="B20" s="11" t="s">
        <v>184</v>
      </c>
      <c r="C20" s="14">
        <v>35</v>
      </c>
      <c r="D20" s="14">
        <v>35</v>
      </c>
      <c r="E20" s="20">
        <f>IFERROR(D20/C20,"")</f>
        <v>1</v>
      </c>
      <c r="F20" s="26">
        <f>C20/ 72</f>
        <v>0.4861111111111111</v>
      </c>
      <c r="G20" s="27">
        <f>(F20/6)*100</f>
        <v>8.1018518518518512</v>
      </c>
      <c r="H20" s="29">
        <f t="shared" si="0"/>
        <v>0.81018518518518512</v>
      </c>
      <c r="I20" s="14"/>
      <c r="J20" s="14"/>
    </row>
    <row r="21" spans="1:10" x14ac:dyDescent="0.2">
      <c r="A21" s="11">
        <v>45</v>
      </c>
      <c r="B21" s="11" t="s">
        <v>148</v>
      </c>
      <c r="C21" s="14">
        <v>25</v>
      </c>
      <c r="D21" s="14">
        <v>25</v>
      </c>
      <c r="E21" s="20">
        <f>IFERROR(D21/C21,"")</f>
        <v>1</v>
      </c>
      <c r="F21" s="26">
        <f>C21/ 72</f>
        <v>0.34722222222222221</v>
      </c>
      <c r="G21" s="27">
        <f>(F21/6)*100</f>
        <v>5.7870370370370372</v>
      </c>
      <c r="H21" s="29">
        <f t="shared" si="0"/>
        <v>0.57870370370370372</v>
      </c>
      <c r="I21" s="14"/>
      <c r="J21" s="14"/>
    </row>
    <row r="22" spans="1:10" x14ac:dyDescent="0.2">
      <c r="A22" s="11">
        <v>45</v>
      </c>
      <c r="B22" s="11" t="s">
        <v>184</v>
      </c>
      <c r="C22" s="14">
        <v>35</v>
      </c>
      <c r="D22" s="14">
        <v>35</v>
      </c>
      <c r="E22" s="20">
        <f>IFERROR(D22/C22,"")</f>
        <v>1</v>
      </c>
      <c r="F22" s="26">
        <f>C22/ 72</f>
        <v>0.4861111111111111</v>
      </c>
      <c r="G22" s="27">
        <f>(F22/6)*100</f>
        <v>8.1018518518518512</v>
      </c>
      <c r="H22" s="29">
        <f t="shared" si="0"/>
        <v>0.81018518518518512</v>
      </c>
      <c r="I22" s="14"/>
      <c r="J22" s="14"/>
    </row>
    <row r="23" spans="1:10" x14ac:dyDescent="0.2">
      <c r="A23" s="11">
        <v>50</v>
      </c>
      <c r="B23" s="11" t="s">
        <v>148</v>
      </c>
      <c r="C23" s="14">
        <v>25</v>
      </c>
      <c r="D23" s="14">
        <v>25</v>
      </c>
      <c r="E23" s="20">
        <f>IFERROR(D23/C23,"")</f>
        <v>1</v>
      </c>
      <c r="F23" s="26">
        <f>C23/ 72</f>
        <v>0.34722222222222221</v>
      </c>
      <c r="G23" s="27">
        <f>(F23/6)*100</f>
        <v>5.7870370370370372</v>
      </c>
      <c r="H23" s="29">
        <f t="shared" si="0"/>
        <v>0.57870370370370372</v>
      </c>
      <c r="I23" s="14"/>
      <c r="J23" s="14"/>
    </row>
    <row r="24" spans="1:10" x14ac:dyDescent="0.2">
      <c r="A24" s="11">
        <v>50</v>
      </c>
      <c r="B24" s="11" t="s">
        <v>184</v>
      </c>
      <c r="C24" s="14">
        <v>35</v>
      </c>
      <c r="D24" s="14">
        <v>35</v>
      </c>
      <c r="E24" s="20">
        <f>IFERROR(D24/C24,"")</f>
        <v>1</v>
      </c>
      <c r="F24" s="26">
        <f>C24/ 72</f>
        <v>0.4861111111111111</v>
      </c>
      <c r="G24" s="27">
        <f>(F24/6)*100</f>
        <v>8.1018518518518512</v>
      </c>
      <c r="H24" s="29">
        <f t="shared" si="0"/>
        <v>0.81018518518518512</v>
      </c>
      <c r="I24" s="14"/>
      <c r="J24" s="14"/>
    </row>
    <row r="25" spans="1:10" x14ac:dyDescent="0.2">
      <c r="F25" s="26"/>
    </row>
    <row r="26" spans="1:10" x14ac:dyDescent="0.2">
      <c r="A26" s="3" t="s">
        <v>185</v>
      </c>
      <c r="F26" s="26"/>
    </row>
    <row r="27" spans="1:10" x14ac:dyDescent="0.2">
      <c r="A27" s="10" t="s">
        <v>176</v>
      </c>
      <c r="B27" s="10" t="s">
        <v>135</v>
      </c>
      <c r="C27" s="10" t="s">
        <v>186</v>
      </c>
      <c r="D27" s="10" t="s">
        <v>187</v>
      </c>
      <c r="F27" s="26"/>
    </row>
    <row r="28" spans="1:10" x14ac:dyDescent="0.2">
      <c r="A28" s="10">
        <v>5</v>
      </c>
      <c r="B28" s="10" t="s">
        <v>148</v>
      </c>
      <c r="C28" s="10">
        <v>8</v>
      </c>
      <c r="D28" s="10">
        <v>3</v>
      </c>
      <c r="F28" s="26"/>
    </row>
    <row r="29" spans="1:10" x14ac:dyDescent="0.2">
      <c r="A29" s="10">
        <v>10</v>
      </c>
      <c r="B29" s="10" t="s">
        <v>184</v>
      </c>
      <c r="C29" s="10">
        <v>13</v>
      </c>
      <c r="D29" s="10">
        <v>10</v>
      </c>
    </row>
    <row r="30" spans="1:10" x14ac:dyDescent="0.2">
      <c r="A30" s="10">
        <v>43</v>
      </c>
      <c r="B30" s="10" t="s">
        <v>150</v>
      </c>
      <c r="C30" s="10">
        <v>35</v>
      </c>
      <c r="D30" s="10">
        <v>35</v>
      </c>
    </row>
    <row r="31" spans="1:10" x14ac:dyDescent="0.2">
      <c r="A31" s="10">
        <v>47</v>
      </c>
      <c r="B31" s="10" t="s">
        <v>184</v>
      </c>
      <c r="C31" s="10">
        <v>35</v>
      </c>
      <c r="D31" s="10">
        <v>35</v>
      </c>
    </row>
    <row r="32" spans="1:10" x14ac:dyDescent="0.2">
      <c r="A32" s="10" t="s">
        <v>188</v>
      </c>
      <c r="B32" s="10" t="s">
        <v>148</v>
      </c>
      <c r="C32" s="10">
        <v>25</v>
      </c>
      <c r="D32" s="10">
        <v>25</v>
      </c>
    </row>
    <row r="34" spans="1:1" x14ac:dyDescent="0.2">
      <c r="A34" s="10" t="s">
        <v>189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LISEZ-MOI</vt:lpstr>
      <vt:lpstr>GRILLE</vt:lpstr>
      <vt:lpstr>UNITES</vt:lpstr>
      <vt:lpstr>CIBLAGE-DEFENSE</vt:lpstr>
      <vt:lpstr>DEFENSES</vt:lpstr>
      <vt:lpstr>SITES-BATIMENTS</vt:lpstr>
      <vt:lpstr>SITES-DENSITE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2026-08-22T20:32:08Z</dcterms:created>
  <dcterms:modified xsi:type="dcterms:W3CDTF">2026-08-22T20:32:08Z</dcterms:modified>
  <dc:language>en-US</dc:language>
</cp:coreProperties>
</file>