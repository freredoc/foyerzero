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GRILLE" sheetId="2" state="visible" r:id="rId4"/>
    <sheet name="UNITES" sheetId="3" state="visible" r:id="rId5"/>
    <sheet name="CIBLAGE-DEFENSE" sheetId="4" state="visible" r:id="rId6"/>
    <sheet name="DEFENSES" sheetId="5" state="visible" r:id="rId7"/>
    <sheet name="SITES-BATIMENTS" sheetId="6" state="visible" r:id="rId8"/>
    <sheet name="SITES-DENSIT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<sst xmlns="http://schemas.openxmlformats.org/spreadsheetml/2006/main" count="377" uniqueCount="236">
  <si>
    <t xml:space="preserve">Foyer Zéro — classeur de calibrage</t>
  </si>
  <si>
    <t xml:space="preserve">À quoi sert ce classeur</t>
  </si>
  <si>
    <t xml:space="preserve">Il contient les chiffres que la source TA ne donne pas et qu'il faut fixer nous-mêmes.</t>
  </si>
  <si>
    <t xml:space="preserve">Tant qu'ils sont vides, le prototype de combat n'est pas codable.</t>
  </si>
  <si>
    <t xml:space="preserve">Comment le remplir</t>
  </si>
  <si>
    <t xml:space="preserve">Les cellules à FOND JAUNE sont à remplir. Tout le reste est calculé ou informatif.</t>
  </si>
  <si>
    <t xml:space="preserve">Le TEXTE GRIS ITALIQUE rappelle la valeur TA correspondante, quand elle est connue — c'est un</t>
  </si>
  <si>
    <t xml:space="preserve">repère, pas une consigne. Rien n'oblige à la reprendre.</t>
  </si>
  <si>
    <t xml:space="preserve">La première ligne de données de chaque feuille est un EXEMPLE, en gris, à écraser ou supprimer.</t>
  </si>
  <si>
    <t xml:space="preserve">Les colonnes noires sont des formules : ne pas y écrire, elles se recalculent.</t>
  </si>
  <si>
    <t xml:space="preserve">Ordre conseillé</t>
  </si>
  <si>
    <t xml:space="preserve">1. GRILLE — quelques constantes, tout le reste en dépend</t>
  </si>
  <si>
    <t xml:space="preserve">2. UNITES — le gros du travail, 16 lignes</t>
  </si>
  <si>
    <t xml:space="preserve">3. DEFENSES — 7 structures</t>
  </si>
  <si>
    <t xml:space="preserve">4. CIBLAGE-DEFENSE — une ligne par unité, rapide une fois UNITES rempli</t>
  </si>
  <si>
    <t xml:space="preserve">5. SITES-BATIMENTS et SITES-DENSITE — composition des cibles</t>
  </si>
  <si>
    <t xml:space="preserve">Ce qui n'est PAS ici</t>
  </si>
  <si>
    <t xml:space="preserve">Les coûts de construction, les courbes de production, les paliers de recherche : ils sont déjà</t>
  </si>
  <si>
    <t xml:space="preserve">dans MODELE-ECONOMIQUE.md et ne changent pas. Ce classeur ne couvre que le combat et les cibles.</t>
  </si>
  <si>
    <t xml:space="preserve">Deux décisions restées ouvertes</t>
  </si>
  <si>
    <t xml:space="preserve">• Les deux aéronefs ajoutés (stoppeur anti-véhicule, et anti-tout) n'ont pas de nom. Lignes 14 et</t>
  </si>
  <si>
    <t xml:space="preserve">  15 de UNITES, colonne Nom.</t>
  </si>
  <si>
    <t xml:space="preserve">• L'anti-tout contredit le principe des cases vides du ROSTER §9, qui interdisait une unité</t>
  </si>
  <si>
    <t xml:space="preserve">  annulant les autres. Décision prise de le garder — à confirmer, ou à borner autrement.</t>
  </si>
  <si>
    <t xml:space="preserve">Grille de combat — constantes</t>
  </si>
  <si>
    <t xml:space="preserve">Paramètre</t>
  </si>
  <si>
    <t xml:space="preserve">Valeur</t>
  </si>
  <si>
    <t xml:space="preserve">Note</t>
  </si>
  <si>
    <t xml:space="preserve">Largeur de la grille</t>
  </si>
  <si>
    <t xml:space="preserve">fixé</t>
  </si>
  <si>
    <t xml:space="preserve">Longueur totale</t>
  </si>
  <si>
    <t xml:space="preserve">Profondeur zone défenseur</t>
  </si>
  <si>
    <t xml:space="preserve">bâtiments + défenses</t>
  </si>
  <si>
    <t xml:space="preserve">Rangées de déploiement attaquant</t>
  </si>
  <si>
    <t xml:space="preserve">4 × 9 = 36 emplacements</t>
  </si>
  <si>
    <t xml:space="preserve">Profondeur restante</t>
  </si>
  <si>
    <t xml:space="preserve">Longueur moins zone défenseur moins déploiement. Terrain neutre. À confirmer.</t>
  </si>
  <si>
    <t xml:space="preserve">Vagues d'attaque simultanées</t>
  </si>
  <si>
    <t xml:space="preserve">TA en montre 4, déclenchées à ~10 s d'intervalle</t>
  </si>
  <si>
    <t xml:space="preserve">Intervalle entre vagues (s)</t>
  </si>
  <si>
    <t xml:space="preserve">TA : environ 10 s</t>
  </si>
  <si>
    <t xml:space="preserve">Durée d'un tick (s)</t>
  </si>
  <si>
    <t xml:space="preserve">0,1 s = 10 Hz proposé</t>
  </si>
  <si>
    <t xml:space="preserve">Durée maximale d'un combat (s)</t>
  </si>
  <si>
    <t xml:space="preserve">au-delà, résolution forcée</t>
  </si>
  <si>
    <t xml:space="preserve">Plancher de réserve en zone défense (%)</t>
  </si>
  <si>
    <t xml:space="preserve">TA : 10 %</t>
  </si>
  <si>
    <t xml:space="preserve">Plancher de PV des défenseurs (%)</t>
  </si>
  <si>
    <t xml:space="preserve">TA : 1 %</t>
  </si>
  <si>
    <t xml:space="preserve">Réparation gratuite après raid (%)</t>
  </si>
  <si>
    <t xml:space="preserve">TA : 70 % des PV perdus, au prorata des PV du QG</t>
  </si>
  <si>
    <t xml:space="preserve">Repères de vitesse dictés</t>
  </si>
  <si>
    <t xml:space="preserve">• Infanterie : plusieurs secondes par case (donc vitesse &lt; 1)</t>
  </si>
  <si>
    <t xml:space="preserve">• Blindé lourd : plus rapide que l'infanterie</t>
  </si>
  <si>
    <t xml:space="preserve">• Blindé léger : plus rapide encore</t>
  </si>
  <si>
    <t xml:space="preserve">• Aéronef : 1 case par seconde</t>
  </si>
  <si>
    <t xml:space="preserve">• Aéronef traversant rapide (type Firehawk) : plusieurs cases par seconde</t>
  </si>
  <si>
    <t xml:space="preserve">Unités offensives — 16 lignes</t>
  </si>
  <si>
    <t xml:space="preserve">Colonnes jaunes à remplir. DPS et « sec. pour 16 cases » se calculent. Masse : échelle libre, sert au seuil d'écrasement (une masse supérieure écrase une masse inférieure).</t>
  </si>
  <si>
    <t xml:space="preserve">#</t>
  </si>
  <si>
    <t xml:space="preserve">Nom</t>
  </si>
  <si>
    <t xml:space="preserve">Équivalent TA</t>
  </si>
  <si>
    <t xml:space="preserve">Châssis</t>
  </si>
  <si>
    <t xml:space="preserve">Spécialité</t>
  </si>
  <si>
    <t xml:space="preserve">Palier</t>
  </si>
  <si>
    <t xml:space="preserve">Points
armée</t>
  </si>
  <si>
    <t xml:space="preserve">PV</t>
  </si>
  <si>
    <t xml:space="preserve">Dégâts
par tir</t>
  </si>
  <si>
    <t xml:space="preserve">Cadence
(tirs/s)</t>
  </si>
  <si>
    <t xml:space="preserve">DPS</t>
  </si>
  <si>
    <t xml:space="preserve">Portée</t>
  </si>
  <si>
    <t xml:space="preserve">Portée
mini</t>
  </si>
  <si>
    <t xml:space="preserve">Vitesse
(cases/s)</t>
  </si>
  <si>
    <t xml:space="preserve">Sec. pour
16 cases</t>
  </si>
  <si>
    <t xml:space="preserve">Réserve
(nb tirs)</t>
  </si>
  <si>
    <t xml:space="preserve">Masse
(écrasement)</t>
  </si>
  <si>
    <t xml:space="preserve">Comportement
aérien</t>
  </si>
  <si>
    <t xml:space="preserve">Module</t>
  </si>
  <si>
    <t xml:space="preserve">Notes</t>
  </si>
  <si>
    <t xml:space="preserve">Fusiliers</t>
  </si>
  <si>
    <t xml:space="preserve">Rifleman Squad</t>
  </si>
  <si>
    <t xml:space="preserve">Escouade</t>
  </si>
  <si>
    <t xml:space="preserve">anti-infanterie</t>
  </si>
  <si>
    <t xml:space="preserve">Perceurs</t>
  </si>
  <si>
    <t xml:space="preserve">Missile Squad</t>
  </si>
  <si>
    <t xml:space="preserve">anti-véhicule</t>
  </si>
  <si>
    <t xml:space="preserve">Sapeurs</t>
  </si>
  <si>
    <t xml:space="preserve">Commando</t>
  </si>
  <si>
    <t xml:space="preserve">anti-structure</t>
  </si>
  <si>
    <t xml:space="preserve">Ratisseur</t>
  </si>
  <si>
    <t xml:space="preserve">Guardian</t>
  </si>
  <si>
    <t xml:space="preserve">Blindé</t>
  </si>
  <si>
    <t xml:space="preserve">Fendeur</t>
  </si>
  <si>
    <t xml:space="preserve">Predator Tank</t>
  </si>
  <si>
    <t xml:space="preserve">Bélier</t>
  </si>
  <si>
    <t xml:space="preserve">Pitbull</t>
  </si>
  <si>
    <t xml:space="preserve">Affût</t>
  </si>
  <si>
    <t xml:space="preserve">Scrapbus (Oubliés)</t>
  </si>
  <si>
    <t xml:space="preserve">anti-aérien</t>
  </si>
  <si>
    <t xml:space="preserve">Crécelle</t>
  </si>
  <si>
    <t xml:space="preserve">Orca</t>
  </si>
  <si>
    <t xml:space="preserve">Aéronef</t>
  </si>
  <si>
    <t xml:space="preserve">Frappeur</t>
  </si>
  <si>
    <t xml:space="preserve">Firehawk</t>
  </si>
  <si>
    <t xml:space="preserve">Canon long</t>
  </si>
  <si>
    <t xml:space="preserve">Titan Artillery</t>
  </si>
  <si>
    <t xml:space="preserve">Pièce</t>
  </si>
  <si>
    <t xml:space="preserve">Obusier</t>
  </si>
  <si>
    <t xml:space="preserve">Juggernaut</t>
  </si>
  <si>
    <t xml:space="preserve">Escopette</t>
  </si>
  <si>
    <t xml:space="preserve">SAM Site</t>
  </si>
  <si>
    <t xml:space="preserve">Broyeur</t>
  </si>
  <si>
    <t xml:space="preserve">Mammoth Tank</t>
  </si>
  <si>
    <t xml:space="preserve">Masse</t>
  </si>
  <si>
    <t xml:space="preserve">(à nommer)</t>
  </si>
  <si>
    <t xml:space="preserve">Paladin</t>
  </si>
  <si>
    <t xml:space="preserve">Kodiak</t>
  </si>
  <si>
    <t xml:space="preserve">anti-tout</t>
  </si>
  <si>
    <t xml:space="preserve">(réserve)</t>
  </si>
  <si>
    <t xml:space="preserve">ex</t>
  </si>
  <si>
    <t xml:space="preserve">EXEMPLE →</t>
  </si>
  <si>
    <t xml:space="preserve">—</t>
  </si>
  <si>
    <t xml:space="preserve">Fumigène : neutralise une structure 5 s</t>
  </si>
  <si>
    <t xml:space="preserve">l'unité de départ</t>
  </si>
  <si>
    <t xml:space="preserve">Ciblage défensif — une ligne par unité</t>
  </si>
  <si>
    <t xml:space="preserve">Dans TA, une unité ne défend pas comme elle attaque : le Missile Squad passe d'anti-char à anti-aérien, le Pitbull d'anti-structure à anti-aérien. Seul le Sniper garde son rôle. Aucune aviation ne défend, des deux côtés.</t>
  </si>
  <si>
    <t xml:space="preserve">Rôle défensif de
l'équivalent TA</t>
  </si>
  <si>
    <t xml:space="preserve">Spécialité en attaque</t>
  </si>
  <si>
    <t xml:space="preserve">Présente
en défense ?</t>
  </si>
  <si>
    <t xml:space="preserve">Cible de prédilection
en défense</t>
  </si>
  <si>
    <t xml:space="preserve">Se déplace
latéralement ?</t>
  </si>
  <si>
    <t xml:space="preserve">Module en défense
(si différent)</t>
  </si>
  <si>
    <t xml:space="preserve">absent de la défense</t>
  </si>
  <si>
    <t xml:space="preserve">anti-AÉRIEN principal + anti-véhicule ; se déplace latéralement</t>
  </si>
  <si>
    <t xml:space="preserve">anti-infanterie mobile + un peu d'anti-aérien</t>
  </si>
  <si>
    <t xml:space="preserve">anti-véhicule, va-et-vient sur la ligne</t>
  </si>
  <si>
    <t xml:space="preserve">anti-AÉRIEN mobile + anti-véhicule</t>
  </si>
  <si>
    <t xml:space="preserve">anti-aérien exclusif, ne touche pas le sol</t>
  </si>
  <si>
    <t xml:space="preserve">aucune aviation ne défend</t>
  </si>
  <si>
    <t xml:space="preserve">non</t>
  </si>
  <si>
    <t xml:space="preserve">règle TA : aviation jamais défensive</t>
  </si>
  <si>
    <t xml:space="preserve">anti-véhicule lourd, portée minimale</t>
  </si>
  <si>
    <t xml:space="preserve">anti-aérien lourd, longue portée</t>
  </si>
  <si>
    <t xml:space="preserve">anti-blindé lourd (côté Oubliés)</t>
  </si>
  <si>
    <t xml:space="preserve">Structures défensives</t>
  </si>
  <si>
    <t xml:space="preserve">Décisions actées : Herse = barrière TRAVERSABLE qui blesse fort sa cible de prédilection et tombe sous l'anti-structure. Bastion scindé en deux — l'un plafonne le niveau, l'autre ouvre les types ET verrouille la réparation quand il tombe.</t>
  </si>
  <si>
    <t xml:space="preserve">Structure</t>
  </si>
  <si>
    <t xml:space="preserve">Type</t>
  </si>
  <si>
    <t xml:space="preserve">Cible</t>
  </si>
  <si>
    <t xml:space="preserve">Points
défense</t>
  </si>
  <si>
    <t xml:space="preserve">Cadence</t>
  </si>
  <si>
    <t xml:space="preserve">Dégâts au
franchissement</t>
  </si>
  <si>
    <t xml:space="preserve">Bloque ?</t>
  </si>
  <si>
    <t xml:space="preserve">Casemate</t>
  </si>
  <si>
    <t xml:space="preserve">MG Nest</t>
  </si>
  <si>
    <t xml:space="preserve">tourelle</t>
  </si>
  <si>
    <t xml:space="preserve">infanterie</t>
  </si>
  <si>
    <t xml:space="preserve">tir rapide, courte portée</t>
  </si>
  <si>
    <t xml:space="preserve">Herse</t>
  </si>
  <si>
    <t xml:space="preserve">Anti-Tank Barrier</t>
  </si>
  <si>
    <t xml:space="preserve">barrière</t>
  </si>
  <si>
    <t xml:space="preserve">véhicule</t>
  </si>
  <si>
    <t xml:space="preserve">traversable, blesse au passage, ne tire pas</t>
  </si>
  <si>
    <t xml:space="preserve">Batterie</t>
  </si>
  <si>
    <t xml:space="preserve">Flak</t>
  </si>
  <si>
    <t xml:space="preserve">aviation</t>
  </si>
  <si>
    <t xml:space="preserve">ne touche que le ciel</t>
  </si>
  <si>
    <t xml:space="preserve">Mortier</t>
  </si>
  <si>
    <t xml:space="preserve">Titan Artillery / Demolisher</t>
  </si>
  <si>
    <t xml:space="preserve">artillerie</t>
  </si>
  <si>
    <t xml:space="preserve">portée mini 3, aveugle au contact</t>
  </si>
  <si>
    <t xml:space="preserve">Barbwire</t>
  </si>
  <si>
    <t xml:space="preserve">pendant de la Herse — TA a les deux. À créer ou à écarter</t>
  </si>
  <si>
    <t xml:space="preserve">Watchtower / Reaper</t>
  </si>
  <si>
    <t xml:space="preserve">pendant du Mortier — TA a les deux. À créer ou à écarter</t>
  </si>
  <si>
    <t xml:space="preserve">Bastion</t>
  </si>
  <si>
    <t xml:space="preserve">Defense HQ</t>
  </si>
  <si>
    <t xml:space="preserve">QG</t>
  </si>
  <si>
    <t xml:space="preserve">plafonne le NIVEAU des défenses</t>
  </si>
  <si>
    <t xml:space="preserve">Defense Facility</t>
  </si>
  <si>
    <t xml:space="preserve">complexe</t>
  </si>
  <si>
    <t xml:space="preserve">ouvre les TYPES + verrouille la réparation si détruit</t>
  </si>
  <si>
    <t xml:space="preserve">Composition d'un site ennemi et butin par bâtiment</t>
  </si>
  <si>
    <t xml:space="preserve">Le site n'est plus une cible unique : plusieurs bâtiments de valeurs différentes, entre lesquels le joueur arbitre. Un bâtiment central rase tout le site quand il tombe. Colonnes Camp/Avant-poste/Base : nombre d'exemplaires, ou 0.</t>
  </si>
  <si>
    <t xml:space="preserve">Indice butin = valeur relative, base 1,00. Quartz/Scorie = part de chaque ressource (doit sommer à 1). Butin quartz/scorie = colonnes calculées.</t>
  </si>
  <si>
    <t xml:space="preserve">Bâtiment</t>
  </si>
  <si>
    <t xml:space="preserve">Rôle</t>
  </si>
  <si>
    <t xml:space="preserve">Camp</t>
  </si>
  <si>
    <t xml:space="preserve">Avant-
poste</t>
  </si>
  <si>
    <t xml:space="preserve">Base</t>
  </si>
  <si>
    <t xml:space="preserve">Indice
butin</t>
  </si>
  <si>
    <t xml:space="preserve">Quartz</t>
  </si>
  <si>
    <t xml:space="preserve">Scorie</t>
  </si>
  <si>
    <t xml:space="preserve">Butin
quartz</t>
  </si>
  <si>
    <t xml:space="preserve">Butin
scorie</t>
  </si>
  <si>
    <t xml:space="preserve">Indice TA</t>
  </si>
  <si>
    <t xml:space="preserve">Nœud</t>
  </si>
  <si>
    <t xml:space="preserve">Collecteur (Harvester)</t>
  </si>
  <si>
    <t xml:space="preserve">producteur, cœur du site</t>
  </si>
  <si>
    <t xml:space="preserve">2,75</t>
  </si>
  <si>
    <t xml:space="preserve">Racine</t>
  </si>
  <si>
    <t xml:space="preserve">Silo</t>
  </si>
  <si>
    <t xml:space="preserve">relie les Nœuds</t>
  </si>
  <si>
    <t xml:space="preserve">1,38</t>
  </si>
  <si>
    <t xml:space="preserve">(central)</t>
  </si>
  <si>
    <t xml:space="preserve">Chantier de construction</t>
  </si>
  <si>
    <t xml:space="preserve">sa destruction rase le site et livre tout</t>
  </si>
  <si>
    <t xml:space="preserve">1,00</t>
  </si>
  <si>
    <t xml:space="preserve">Raffinerie</t>
  </si>
  <si>
    <t xml:space="preserve">convertit / produit</t>
  </si>
  <si>
    <t xml:space="preserve">1,16</t>
  </si>
  <si>
    <t xml:space="preserve">Silo de tiberium</t>
  </si>
  <si>
    <t xml:space="preserve">stockage spécialisé quartz</t>
  </si>
  <si>
    <t xml:space="preserve">Silo de cristal</t>
  </si>
  <si>
    <t xml:space="preserve">stockage spécialisé scorie</t>
  </si>
  <si>
    <t xml:space="preserve">Centre d'affaires</t>
  </si>
  <si>
    <t xml:space="preserve">1,78</t>
  </si>
  <si>
    <t xml:space="preserve">QG de défense</t>
  </si>
  <si>
    <t xml:space="preserve">TOTAL</t>
  </si>
  <si>
    <t xml:space="preserve">Indices TA mesurés (base = QG défense / complexe / chantier = 1,00) : raffinerie 1,16 · silo 1,38 par ressource · collecteur 2,75</t>
  </si>
  <si>
    <t xml:space="preserve">Densité et disposition des sites</t>
  </si>
  <si>
    <t xml:space="preserve">Couverture latérale : proportion des 9 colonnes barrées par une rangée. Jamais 100 % — dans TA il reste toujours un passage. Le terrain bloquant (cratères, mares) oriente les unités, qui n'ont aucun pathfinding.</t>
  </si>
  <si>
    <t xml:space="preserve">Niveau</t>
  </si>
  <si>
    <t xml:space="preserve">Type de site</t>
  </si>
  <si>
    <t xml:space="preserve">Nb bâtiments</t>
  </si>
  <si>
    <t xml:space="preserve">Nb défenses</t>
  </si>
  <si>
    <t xml:space="preserve">Ratio
déf/bât</t>
  </si>
  <si>
    <t xml:space="preserve">Nb rangées
défensives</t>
  </si>
  <si>
    <t xml:space="preserve">Couverture
latérale (%)</t>
  </si>
  <si>
    <t xml:space="preserve">Cases de terrain
bloquantes</t>
  </si>
  <si>
    <t xml:space="preserve">Avant-poste</t>
  </si>
  <si>
    <t xml:space="preserve">Mesures TA, pour repère</t>
  </si>
  <si>
    <t xml:space="preserve">Bâtiments</t>
  </si>
  <si>
    <t xml:space="preserve">Défenses</t>
  </si>
  <si>
    <t xml:space="preserve">50–65</t>
  </si>
  <si>
    <t xml:space="preserve">Deux régimes : sous le niveau ~15 la défense est en retard sur le bâti ; au-delà, une défense par bâtiment. Le camp plafonne à 25, l'avant-poste monte à 35.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</si>
</sst>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EAEAEA"/>
      </patternFill>
    </fill>
    <fill>
      <patternFill patternType="solid">
        <fgColor rgb="FF404040"/>
        <bgColor rgb="FF333300"/>
      </patternFill>
    </fill>
    <fill>
      <patternFill patternType="solid">
        <fgColor rgb="FFFFFF99"/>
        <bgColor rgb="FFCCFFCC"/>
      </patternFill>
    </fill>
    <fill>
      <patternFill patternType="solid">
        <fgColor rgb="FFEAEAE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EA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1</v>
      </c>
    </row>
    <row r="6" customFormat="false" ht="15" hidden="false" customHeight="false" outlineLevel="0" collapsed="false">
      <c r="B6" s="2" t="s">
        <v>2</v>
      </c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4</v>
      </c>
    </row>
    <row r="10" customFormat="false" ht="15" hidden="false" customHeight="false" outlineLevel="0" collapsed="false">
      <c r="B10" s="2" t="s">
        <v>5</v>
      </c>
    </row>
    <row r="11" customFormat="false" ht="15" hidden="false" customHeight="false" outlineLevel="0" collapsed="false">
      <c r="B11" s="2" t="s">
        <v>6</v>
      </c>
    </row>
    <row r="12" customFormat="false" ht="15" hidden="false" customHeight="false" outlineLevel="0" collapsed="false">
      <c r="B12" s="2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2" t="s">
        <v>11</v>
      </c>
    </row>
    <row r="18" customFormat="false" ht="15" hidden="false" customHeight="false" outlineLevel="0" collapsed="false">
      <c r="B18" s="2" t="s">
        <v>12</v>
      </c>
    </row>
    <row r="19" customFormat="false" ht="15" hidden="false" customHeight="false" outlineLevel="0" collapsed="false">
      <c r="B19" s="2" t="s">
        <v>13</v>
      </c>
    </row>
    <row r="20" customFormat="false" ht="15" hidden="false" customHeight="false" outlineLevel="0" collapsed="false">
      <c r="B20" s="2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2"/>
    </row>
    <row r="23" customFormat="false" ht="15" hidden="false" customHeight="false" outlineLevel="0" collapsed="false">
      <c r="B23" s="3" t="s">
        <v>16</v>
      </c>
    </row>
    <row r="24" customFormat="false" ht="15" hidden="false" customHeight="false" outlineLevel="0" collapsed="false">
      <c r="B24" s="2" t="s">
        <v>17</v>
      </c>
    </row>
    <row r="25" customFormat="false" ht="15" hidden="false" customHeight="false" outlineLevel="0" collapsed="false">
      <c r="B25" s="2" t="s">
        <v>18</v>
      </c>
    </row>
    <row r="26" customFormat="false" ht="15" hidden="false" customHeight="false" outlineLevel="0" collapsed="false">
      <c r="B26" s="2"/>
    </row>
    <row r="27" customFormat="false" ht="15" hidden="false" customHeight="false" outlineLevel="0" collapsed="false">
      <c r="B27" s="3" t="s">
        <v>19</v>
      </c>
    </row>
    <row r="28" customFormat="false" ht="15" hidden="false" customHeight="false" outlineLevel="0" collapsed="false">
      <c r="B28" s="2" t="s">
        <v>20</v>
      </c>
    </row>
    <row r="29" customFormat="false" ht="15" hidden="false" customHeight="false" outlineLevel="0" collapsed="false">
      <c r="B29" s="2" t="s">
        <v>21</v>
      </c>
    </row>
    <row r="30" customFormat="false" ht="15" hidden="false" customHeight="false" outlineLevel="0" collapsed="false">
      <c r="B30" s="2" t="s">
        <v>22</v>
      </c>
    </row>
    <row r="31" customFormat="false" ht="15" hidden="false" customHeight="false" outlineLevel="0" collapsed="false">
      <c r="B31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24</v>
      </c>
    </row>
    <row r="3" customFormat="false" ht="33.75" hidden="false" customHeight="true" outlineLevel="0" collapsed="false">
      <c r="A3" s="4" t="s">
        <v>25</v>
      </c>
      <c r="B3" s="4" t="s">
        <v>26</v>
      </c>
      <c r="C3" s="4" t="s">
        <v>27</v>
      </c>
    </row>
    <row r="4" customFormat="false" ht="15" hidden="false" customHeight="false" outlineLevel="0" collapsed="false">
      <c r="A4" s="5" t="s">
        <v>28</v>
      </c>
      <c r="B4" s="6" t="n">
        <v>9</v>
      </c>
      <c r="C4" s="7" t="s">
        <v>29</v>
      </c>
    </row>
    <row r="5" customFormat="false" ht="15" hidden="false" customHeight="false" outlineLevel="0" collapsed="false">
      <c r="A5" s="5" t="s">
        <v>30</v>
      </c>
      <c r="B5" s="6" t="n">
        <v>16</v>
      </c>
      <c r="C5" s="7" t="s">
        <v>29</v>
      </c>
    </row>
    <row r="6" customFormat="false" ht="15" hidden="false" customHeight="false" outlineLevel="0" collapsed="false">
      <c r="A6" s="5" t="s">
        <v>31</v>
      </c>
      <c r="B6" s="6" t="n">
        <v>8</v>
      </c>
      <c r="C6" s="7" t="s">
        <v>32</v>
      </c>
    </row>
    <row r="7" customFormat="false" ht="15" hidden="false" customHeight="false" outlineLevel="0" collapsed="false">
      <c r="A7" s="5" t="s">
        <v>33</v>
      </c>
      <c r="B7" s="6" t="n">
        <v>4</v>
      </c>
      <c r="C7" s="7" t="s">
        <v>34</v>
      </c>
    </row>
    <row r="8" customFormat="false" ht="15" hidden="false" customHeight="false" outlineLevel="0" collapsed="false">
      <c r="A8" s="5" t="s">
        <v>35</v>
      </c>
      <c r="B8" s="8" t="n">
        <f aca="false">B5-B6-B7</f>
        <v>4</v>
      </c>
      <c r="C8" s="7" t="s">
        <v>36</v>
      </c>
    </row>
    <row r="9" customFormat="false" ht="15" hidden="false" customHeight="false" outlineLevel="0" collapsed="false">
      <c r="A9" s="5" t="s">
        <v>37</v>
      </c>
      <c r="B9" s="9"/>
      <c r="C9" s="7" t="s">
        <v>38</v>
      </c>
    </row>
    <row r="10" customFormat="false" ht="15" hidden="false" customHeight="false" outlineLevel="0" collapsed="false">
      <c r="A10" s="5" t="s">
        <v>39</v>
      </c>
      <c r="B10" s="9"/>
      <c r="C10" s="7" t="s">
        <v>40</v>
      </c>
    </row>
    <row r="11" customFormat="false" ht="15" hidden="false" customHeight="false" outlineLevel="0" collapsed="false">
      <c r="A11" s="5" t="s">
        <v>41</v>
      </c>
      <c r="B11" s="9"/>
      <c r="C11" s="7" t="s">
        <v>42</v>
      </c>
    </row>
    <row r="12" customFormat="false" ht="15" hidden="false" customHeight="false" outlineLevel="0" collapsed="false">
      <c r="A12" s="5" t="s">
        <v>43</v>
      </c>
      <c r="B12" s="9"/>
      <c r="C12" s="7" t="s">
        <v>44</v>
      </c>
    </row>
    <row r="13" customFormat="false" ht="15" hidden="false" customHeight="false" outlineLevel="0" collapsed="false">
      <c r="A13" s="5" t="s">
        <v>45</v>
      </c>
      <c r="B13" s="9"/>
      <c r="C13" s="7" t="s">
        <v>46</v>
      </c>
    </row>
    <row r="14" customFormat="false" ht="15" hidden="false" customHeight="false" outlineLevel="0" collapsed="false">
      <c r="A14" s="5" t="s">
        <v>47</v>
      </c>
      <c r="B14" s="9"/>
      <c r="C14" s="7" t="s">
        <v>48</v>
      </c>
    </row>
    <row r="15" customFormat="false" ht="15" hidden="false" customHeight="false" outlineLevel="0" collapsed="false">
      <c r="A15" s="5" t="s">
        <v>49</v>
      </c>
      <c r="B15" s="9"/>
      <c r="C15" s="7" t="s">
        <v>50</v>
      </c>
    </row>
    <row r="17" customFormat="false" ht="15" hidden="false" customHeight="false" outlineLevel="0" collapsed="false">
      <c r="A17" s="3" t="s">
        <v>51</v>
      </c>
    </row>
    <row r="18" customFormat="false" ht="15" hidden="false" customHeight="false" outlineLevel="0" collapsed="false">
      <c r="A18" s="10" t="s">
        <v>52</v>
      </c>
    </row>
    <row r="19" customFormat="false" ht="15" hidden="false" customHeight="false" outlineLevel="0" collapsed="false">
      <c r="A19" s="10" t="s">
        <v>53</v>
      </c>
    </row>
    <row r="20" customFormat="false" ht="15" hidden="false" customHeight="false" outlineLevel="0" collapsed="false">
      <c r="A20" s="10" t="s">
        <v>54</v>
      </c>
    </row>
    <row r="21" customFormat="false" ht="15" hidden="false" customHeight="false" outlineLevel="0" collapsed="false">
      <c r="A21" s="10" t="s">
        <v>55</v>
      </c>
    </row>
    <row r="22" customFormat="false" ht="15" hidden="false" customHeight="false" outlineLevel="0" collapsed="false">
      <c r="A22" s="1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10" min="8" style="0" width="9"/>
    <col collapsed="false" customWidth="true" hidden="false" outlineLevel="0" max="13" min="11" style="0" width="8"/>
    <col collapsed="false" customWidth="true" hidden="false" outlineLevel="0" max="15" min="14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4"/>
    <col collapsed="false" customWidth="true" hidden="false" outlineLevel="0" max="20" min="19" style="0" width="26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10" t="s">
        <v>58</v>
      </c>
    </row>
    <row r="4" customFormat="false" ht="33.75" hidden="false" customHeight="true" outlineLevel="0" collapsed="false">
      <c r="A4" s="4" t="s">
        <v>59</v>
      </c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  <c r="J4" s="4" t="s">
        <v>68</v>
      </c>
      <c r="K4" s="4" t="s">
        <v>69</v>
      </c>
      <c r="L4" s="4" t="s">
        <v>70</v>
      </c>
      <c r="M4" s="4" t="s">
        <v>71</v>
      </c>
      <c r="N4" s="4" t="s">
        <v>72</v>
      </c>
      <c r="O4" s="4" t="s">
        <v>73</v>
      </c>
      <c r="P4" s="4" t="s">
        <v>74</v>
      </c>
      <c r="Q4" s="4" t="s">
        <v>75</v>
      </c>
      <c r="R4" s="4" t="s">
        <v>76</v>
      </c>
      <c r="S4" s="4" t="s">
        <v>77</v>
      </c>
      <c r="T4" s="4" t="s">
        <v>78</v>
      </c>
    </row>
    <row r="5" customFormat="false" ht="15" hidden="false" customHeight="false" outlineLevel="0" collapsed="false">
      <c r="A5" s="11" t="n">
        <v>1</v>
      </c>
      <c r="B5" s="11" t="s">
        <v>79</v>
      </c>
      <c r="C5" s="12" t="s">
        <v>80</v>
      </c>
      <c r="D5" s="11" t="s">
        <v>81</v>
      </c>
      <c r="E5" s="11" t="s">
        <v>82</v>
      </c>
      <c r="F5" s="13" t="n">
        <v>0</v>
      </c>
      <c r="G5" s="14"/>
      <c r="H5" s="14"/>
      <c r="I5" s="14"/>
      <c r="J5" s="14"/>
      <c r="K5" s="15" t="n">
        <f aca="false">IFERROR(I5*J5,"")</f>
        <v>0</v>
      </c>
      <c r="L5" s="14"/>
      <c r="M5" s="14"/>
      <c r="N5" s="14"/>
      <c r="O5" s="15" t="str">
        <f aca="false">IFERROR(16/N5,"")</f>
        <v/>
      </c>
      <c r="P5" s="14"/>
      <c r="Q5" s="14"/>
      <c r="R5" s="14"/>
      <c r="S5" s="14"/>
      <c r="T5" s="14"/>
    </row>
    <row r="6" customFormat="false" ht="15" hidden="false" customHeight="false" outlineLevel="0" collapsed="false">
      <c r="A6" s="11" t="n">
        <v>2</v>
      </c>
      <c r="B6" s="11" t="s">
        <v>83</v>
      </c>
      <c r="C6" s="12" t="s">
        <v>84</v>
      </c>
      <c r="D6" s="11" t="s">
        <v>81</v>
      </c>
      <c r="E6" s="11" t="s">
        <v>85</v>
      </c>
      <c r="F6" s="13" t="n">
        <v>1</v>
      </c>
      <c r="G6" s="14"/>
      <c r="H6" s="14"/>
      <c r="I6" s="14"/>
      <c r="J6" s="14"/>
      <c r="K6" s="15" t="n">
        <f aca="false">IFERROR(I6*J6,"")</f>
        <v>0</v>
      </c>
      <c r="L6" s="14"/>
      <c r="M6" s="14"/>
      <c r="N6" s="14"/>
      <c r="O6" s="15" t="str">
        <f aca="false">IFERROR(16/N6,"")</f>
        <v/>
      </c>
      <c r="P6" s="14"/>
      <c r="Q6" s="14"/>
      <c r="R6" s="14"/>
      <c r="S6" s="14"/>
      <c r="T6" s="14"/>
    </row>
    <row r="7" customFormat="false" ht="15" hidden="false" customHeight="false" outlineLevel="0" collapsed="false">
      <c r="A7" s="11" t="n">
        <v>3</v>
      </c>
      <c r="B7" s="11" t="s">
        <v>86</v>
      </c>
      <c r="C7" s="12" t="s">
        <v>87</v>
      </c>
      <c r="D7" s="11" t="s">
        <v>81</v>
      </c>
      <c r="E7" s="11" t="s">
        <v>88</v>
      </c>
      <c r="F7" s="13" t="n">
        <v>1</v>
      </c>
      <c r="G7" s="14"/>
      <c r="H7" s="14"/>
      <c r="I7" s="14"/>
      <c r="J7" s="14"/>
      <c r="K7" s="15" t="n">
        <f aca="false">IFERROR(I7*J7,"")</f>
        <v>0</v>
      </c>
      <c r="L7" s="14"/>
      <c r="M7" s="14"/>
      <c r="N7" s="14"/>
      <c r="O7" s="15" t="str">
        <f aca="false">IFERROR(16/N7,"")</f>
        <v/>
      </c>
      <c r="P7" s="14"/>
      <c r="Q7" s="14"/>
      <c r="R7" s="14"/>
      <c r="S7" s="14"/>
      <c r="T7" s="14"/>
    </row>
    <row r="8" customFormat="false" ht="15" hidden="false" customHeight="false" outlineLevel="0" collapsed="false">
      <c r="A8" s="11" t="n">
        <v>4</v>
      </c>
      <c r="B8" s="11" t="s">
        <v>89</v>
      </c>
      <c r="C8" s="12" t="s">
        <v>90</v>
      </c>
      <c r="D8" s="11" t="s">
        <v>91</v>
      </c>
      <c r="E8" s="11" t="s">
        <v>82</v>
      </c>
      <c r="F8" s="13" t="n">
        <v>0</v>
      </c>
      <c r="G8" s="14"/>
      <c r="H8" s="14"/>
      <c r="I8" s="14"/>
      <c r="J8" s="14"/>
      <c r="K8" s="15" t="n">
        <f aca="false">IFERROR(I8*J8,"")</f>
        <v>0</v>
      </c>
      <c r="L8" s="14"/>
      <c r="M8" s="14"/>
      <c r="N8" s="14"/>
      <c r="O8" s="15" t="str">
        <f aca="false">IFERROR(16/N8,"")</f>
        <v/>
      </c>
      <c r="P8" s="14"/>
      <c r="Q8" s="14"/>
      <c r="R8" s="14"/>
      <c r="S8" s="14"/>
      <c r="T8" s="14"/>
    </row>
    <row r="9" customFormat="false" ht="15" hidden="false" customHeight="false" outlineLevel="0" collapsed="false">
      <c r="A9" s="11" t="n">
        <v>5</v>
      </c>
      <c r="B9" s="11" t="s">
        <v>92</v>
      </c>
      <c r="C9" s="12" t="s">
        <v>93</v>
      </c>
      <c r="D9" s="11" t="s">
        <v>91</v>
      </c>
      <c r="E9" s="11" t="s">
        <v>85</v>
      </c>
      <c r="F9" s="13" t="n">
        <v>2</v>
      </c>
      <c r="G9" s="14"/>
      <c r="H9" s="14"/>
      <c r="I9" s="14"/>
      <c r="J9" s="14"/>
      <c r="K9" s="15" t="n">
        <f aca="false">IFERROR(I9*J9,"")</f>
        <v>0</v>
      </c>
      <c r="L9" s="14"/>
      <c r="M9" s="14"/>
      <c r="N9" s="14"/>
      <c r="O9" s="15" t="str">
        <f aca="false">IFERROR(16/N9,"")</f>
        <v/>
      </c>
      <c r="P9" s="14"/>
      <c r="Q9" s="14"/>
      <c r="R9" s="14"/>
      <c r="S9" s="14"/>
      <c r="T9" s="14"/>
    </row>
    <row r="10" customFormat="false" ht="15" hidden="false" customHeight="false" outlineLevel="0" collapsed="false">
      <c r="A10" s="11" t="n">
        <v>6</v>
      </c>
      <c r="B10" s="11" t="s">
        <v>94</v>
      </c>
      <c r="C10" s="12" t="s">
        <v>95</v>
      </c>
      <c r="D10" s="11" t="s">
        <v>91</v>
      </c>
      <c r="E10" s="11" t="s">
        <v>88</v>
      </c>
      <c r="F10" s="13" t="n">
        <v>0</v>
      </c>
      <c r="G10" s="14"/>
      <c r="H10" s="14"/>
      <c r="I10" s="14"/>
      <c r="J10" s="14"/>
      <c r="K10" s="15" t="n">
        <f aca="false">IFERROR(I10*J10,"")</f>
        <v>0</v>
      </c>
      <c r="L10" s="14"/>
      <c r="M10" s="14"/>
      <c r="N10" s="14"/>
      <c r="O10" s="15" t="str">
        <f aca="false">IFERROR(16/N10,"")</f>
        <v/>
      </c>
      <c r="P10" s="14"/>
      <c r="Q10" s="14"/>
      <c r="R10" s="14"/>
      <c r="S10" s="14"/>
      <c r="T10" s="14"/>
    </row>
    <row r="11" customFormat="false" ht="15" hidden="false" customHeight="false" outlineLevel="0" collapsed="false">
      <c r="A11" s="11" t="n">
        <v>7</v>
      </c>
      <c r="B11" s="11" t="s">
        <v>96</v>
      </c>
      <c r="C11" s="12" t="s">
        <v>97</v>
      </c>
      <c r="D11" s="11" t="s">
        <v>91</v>
      </c>
      <c r="E11" s="11" t="s">
        <v>98</v>
      </c>
      <c r="F11" s="13" t="n">
        <v>5</v>
      </c>
      <c r="G11" s="14"/>
      <c r="H11" s="14"/>
      <c r="I11" s="14"/>
      <c r="J11" s="14"/>
      <c r="K11" s="15" t="n">
        <f aca="false">IFERROR(I11*J11,"")</f>
        <v>0</v>
      </c>
      <c r="L11" s="14"/>
      <c r="M11" s="14"/>
      <c r="N11" s="14"/>
      <c r="O11" s="15" t="str">
        <f aca="false">IFERROR(16/N11,"")</f>
        <v/>
      </c>
      <c r="P11" s="14"/>
      <c r="Q11" s="14"/>
      <c r="R11" s="14"/>
      <c r="S11" s="14"/>
      <c r="T11" s="14"/>
    </row>
    <row r="12" customFormat="false" ht="15" hidden="false" customHeight="false" outlineLevel="0" collapsed="false">
      <c r="A12" s="11" t="n">
        <v>8</v>
      </c>
      <c r="B12" s="11" t="s">
        <v>99</v>
      </c>
      <c r="C12" s="12" t="s">
        <v>100</v>
      </c>
      <c r="D12" s="11" t="s">
        <v>101</v>
      </c>
      <c r="E12" s="11" t="s">
        <v>82</v>
      </c>
      <c r="F12" s="13" t="n">
        <v>6</v>
      </c>
      <c r="G12" s="14"/>
      <c r="H12" s="14"/>
      <c r="I12" s="14"/>
      <c r="J12" s="14"/>
      <c r="K12" s="15" t="n">
        <f aca="false">IFERROR(I12*J12,"")</f>
        <v>0</v>
      </c>
      <c r="L12" s="14"/>
      <c r="M12" s="14"/>
      <c r="N12" s="14"/>
      <c r="O12" s="15" t="str">
        <f aca="false">IFERROR(16/N12,"")</f>
        <v/>
      </c>
      <c r="P12" s="14"/>
      <c r="Q12" s="14"/>
      <c r="R12" s="14"/>
      <c r="S12" s="14"/>
      <c r="T12" s="14"/>
    </row>
    <row r="13" customFormat="false" ht="15" hidden="false" customHeight="false" outlineLevel="0" collapsed="false">
      <c r="A13" s="11" t="n">
        <v>9</v>
      </c>
      <c r="B13" s="11" t="s">
        <v>102</v>
      </c>
      <c r="C13" s="12" t="s">
        <v>103</v>
      </c>
      <c r="D13" s="11" t="s">
        <v>101</v>
      </c>
      <c r="E13" s="11" t="s">
        <v>88</v>
      </c>
      <c r="F13" s="13" t="n">
        <v>8</v>
      </c>
      <c r="G13" s="14"/>
      <c r="H13" s="14"/>
      <c r="I13" s="14"/>
      <c r="J13" s="14"/>
      <c r="K13" s="15" t="n">
        <f aca="false">IFERROR(I13*J13,"")</f>
        <v>0</v>
      </c>
      <c r="L13" s="14"/>
      <c r="M13" s="14"/>
      <c r="N13" s="14"/>
      <c r="O13" s="15" t="str">
        <f aca="false">IFERROR(16/N13,"")</f>
        <v/>
      </c>
      <c r="P13" s="14"/>
      <c r="Q13" s="14"/>
      <c r="R13" s="14"/>
      <c r="S13" s="14"/>
      <c r="T13" s="14"/>
    </row>
    <row r="14" customFormat="false" ht="15" hidden="false" customHeight="false" outlineLevel="0" collapsed="false">
      <c r="A14" s="11" t="n">
        <v>10</v>
      </c>
      <c r="B14" s="11" t="s">
        <v>104</v>
      </c>
      <c r="C14" s="12" t="s">
        <v>105</v>
      </c>
      <c r="D14" s="11" t="s">
        <v>106</v>
      </c>
      <c r="E14" s="11" t="s">
        <v>85</v>
      </c>
      <c r="F14" s="13" t="n">
        <v>4</v>
      </c>
      <c r="G14" s="14"/>
      <c r="H14" s="14"/>
      <c r="I14" s="14"/>
      <c r="J14" s="14"/>
      <c r="K14" s="15" t="n">
        <f aca="false">IFERROR(I14*J14,"")</f>
        <v>0</v>
      </c>
      <c r="L14" s="14"/>
      <c r="M14" s="14"/>
      <c r="N14" s="14"/>
      <c r="O14" s="15" t="str">
        <f aca="false">IFERROR(16/N14,"")</f>
        <v/>
      </c>
      <c r="P14" s="14"/>
      <c r="Q14" s="14"/>
      <c r="R14" s="14"/>
      <c r="S14" s="14"/>
      <c r="T14" s="14"/>
    </row>
    <row r="15" customFormat="false" ht="15" hidden="false" customHeight="false" outlineLevel="0" collapsed="false">
      <c r="A15" s="11" t="n">
        <v>11</v>
      </c>
      <c r="B15" s="11" t="s">
        <v>107</v>
      </c>
      <c r="C15" s="12" t="s">
        <v>108</v>
      </c>
      <c r="D15" s="11" t="s">
        <v>106</v>
      </c>
      <c r="E15" s="11" t="s">
        <v>88</v>
      </c>
      <c r="F15" s="13" t="n">
        <v>7</v>
      </c>
      <c r="G15" s="14"/>
      <c r="H15" s="14"/>
      <c r="I15" s="14"/>
      <c r="J15" s="14"/>
      <c r="K15" s="15" t="n">
        <f aca="false">IFERROR(I15*J15,"")</f>
        <v>0</v>
      </c>
      <c r="L15" s="14"/>
      <c r="M15" s="14"/>
      <c r="N15" s="14"/>
      <c r="O15" s="15" t="str">
        <f aca="false">IFERROR(16/N15,"")</f>
        <v/>
      </c>
      <c r="P15" s="14"/>
      <c r="Q15" s="14"/>
      <c r="R15" s="14"/>
      <c r="S15" s="14"/>
      <c r="T15" s="14"/>
    </row>
    <row r="16" customFormat="false" ht="15" hidden="false" customHeight="false" outlineLevel="0" collapsed="false">
      <c r="A16" s="11" t="n">
        <v>12</v>
      </c>
      <c r="B16" s="11" t="s">
        <v>109</v>
      </c>
      <c r="C16" s="12" t="s">
        <v>110</v>
      </c>
      <c r="D16" s="11" t="s">
        <v>106</v>
      </c>
      <c r="E16" s="11" t="s">
        <v>98</v>
      </c>
      <c r="F16" s="13" t="n">
        <v>10</v>
      </c>
      <c r="G16" s="14"/>
      <c r="H16" s="14"/>
      <c r="I16" s="14"/>
      <c r="J16" s="14"/>
      <c r="K16" s="15" t="n">
        <f aca="false">IFERROR(I16*J16,"")</f>
        <v>0</v>
      </c>
      <c r="L16" s="14"/>
      <c r="M16" s="14"/>
      <c r="N16" s="14"/>
      <c r="O16" s="15" t="str">
        <f aca="false">IFERROR(16/N16,"")</f>
        <v/>
      </c>
      <c r="P16" s="14"/>
      <c r="Q16" s="14"/>
      <c r="R16" s="14"/>
      <c r="S16" s="14"/>
      <c r="T16" s="14"/>
    </row>
    <row r="17" customFormat="false" ht="15" hidden="false" customHeight="false" outlineLevel="0" collapsed="false">
      <c r="A17" s="11" t="n">
        <v>13</v>
      </c>
      <c r="B17" s="11" t="s">
        <v>111</v>
      </c>
      <c r="C17" s="12" t="s">
        <v>112</v>
      </c>
      <c r="D17" s="11" t="s">
        <v>113</v>
      </c>
      <c r="E17" s="11" t="s">
        <v>88</v>
      </c>
      <c r="F17" s="13" t="n">
        <v>9</v>
      </c>
      <c r="G17" s="14"/>
      <c r="H17" s="14"/>
      <c r="I17" s="14"/>
      <c r="J17" s="14"/>
      <c r="K17" s="15" t="n">
        <f aca="false">IFERROR(I17*J17,"")</f>
        <v>0</v>
      </c>
      <c r="L17" s="14"/>
      <c r="M17" s="14"/>
      <c r="N17" s="14"/>
      <c r="O17" s="15" t="str">
        <f aca="false">IFERROR(16/N17,"")</f>
        <v/>
      </c>
      <c r="P17" s="14"/>
      <c r="Q17" s="14"/>
      <c r="R17" s="14"/>
      <c r="S17" s="14"/>
      <c r="T17" s="14"/>
    </row>
    <row r="18" customFormat="false" ht="15" hidden="false" customHeight="false" outlineLevel="0" collapsed="false">
      <c r="A18" s="11" t="n">
        <v>14</v>
      </c>
      <c r="B18" s="11" t="s">
        <v>114</v>
      </c>
      <c r="C18" s="12" t="s">
        <v>115</v>
      </c>
      <c r="D18" s="11" t="s">
        <v>101</v>
      </c>
      <c r="E18" s="11" t="s">
        <v>85</v>
      </c>
      <c r="F18" s="14"/>
      <c r="G18" s="14"/>
      <c r="H18" s="14"/>
      <c r="I18" s="14"/>
      <c r="J18" s="14"/>
      <c r="K18" s="15" t="n">
        <f aca="false">IFERROR(I18*J18,"")</f>
        <v>0</v>
      </c>
      <c r="L18" s="14"/>
      <c r="M18" s="14"/>
      <c r="N18" s="14"/>
      <c r="O18" s="15" t="str">
        <f aca="false">IFERROR(16/N18,"")</f>
        <v/>
      </c>
      <c r="P18" s="14"/>
      <c r="Q18" s="14"/>
      <c r="R18" s="14"/>
      <c r="S18" s="14"/>
      <c r="T18" s="14"/>
    </row>
    <row r="19" customFormat="false" ht="15" hidden="false" customHeight="false" outlineLevel="0" collapsed="false">
      <c r="A19" s="11" t="n">
        <v>15</v>
      </c>
      <c r="B19" s="11" t="s">
        <v>114</v>
      </c>
      <c r="C19" s="12" t="s">
        <v>116</v>
      </c>
      <c r="D19" s="11" t="s">
        <v>101</v>
      </c>
      <c r="E19" s="11" t="s">
        <v>117</v>
      </c>
      <c r="F19" s="14"/>
      <c r="G19" s="14"/>
      <c r="H19" s="14"/>
      <c r="I19" s="14"/>
      <c r="J19" s="14"/>
      <c r="K19" s="15" t="n">
        <f aca="false">IFERROR(I19*J19,"")</f>
        <v>0</v>
      </c>
      <c r="L19" s="14"/>
      <c r="M19" s="14"/>
      <c r="N19" s="14"/>
      <c r="O19" s="15" t="str">
        <f aca="false">IFERROR(16/N19,"")</f>
        <v/>
      </c>
      <c r="P19" s="14"/>
      <c r="Q19" s="14"/>
      <c r="R19" s="14"/>
      <c r="S19" s="14"/>
      <c r="T19" s="14"/>
    </row>
    <row r="20" customFormat="false" ht="15" hidden="false" customHeight="false" outlineLevel="0" collapsed="false">
      <c r="A20" s="11" t="n">
        <v>16</v>
      </c>
      <c r="B20" s="11" t="s">
        <v>118</v>
      </c>
      <c r="C20" s="12"/>
      <c r="D20" s="11"/>
      <c r="E20" s="11"/>
      <c r="F20" s="14"/>
      <c r="G20" s="14"/>
      <c r="H20" s="14"/>
      <c r="I20" s="14"/>
      <c r="J20" s="14"/>
      <c r="K20" s="15" t="n">
        <f aca="false">IFERROR(I20*J20,"")</f>
        <v>0</v>
      </c>
      <c r="L20" s="14"/>
      <c r="M20" s="14"/>
      <c r="N20" s="14"/>
      <c r="O20" s="15" t="str">
        <f aca="false">IFERROR(16/N20,"")</f>
        <v/>
      </c>
      <c r="P20" s="14"/>
      <c r="Q20" s="14"/>
      <c r="R20" s="14"/>
      <c r="S20" s="14"/>
      <c r="T20" s="14"/>
    </row>
    <row r="22" customFormat="false" ht="23.85" hidden="false" customHeight="false" outlineLevel="0" collapsed="false">
      <c r="A22" s="16" t="s">
        <v>119</v>
      </c>
      <c r="B22" s="17" t="s">
        <v>120</v>
      </c>
      <c r="C22" s="16" t="s">
        <v>80</v>
      </c>
      <c r="D22" s="16" t="s">
        <v>81</v>
      </c>
      <c r="E22" s="16" t="s">
        <v>82</v>
      </c>
      <c r="F22" s="16" t="n">
        <v>0</v>
      </c>
      <c r="G22" s="16" t="n">
        <v>5</v>
      </c>
      <c r="H22" s="16" t="n">
        <v>400</v>
      </c>
      <c r="I22" s="16" t="n">
        <v>12</v>
      </c>
      <c r="J22" s="16" t="n">
        <v>1.5</v>
      </c>
      <c r="K22" s="16" t="n">
        <f aca="false">IFERROR(I22*J22,"")</f>
        <v>18</v>
      </c>
      <c r="L22" s="16" t="n">
        <v>3</v>
      </c>
      <c r="M22" s="16" t="n">
        <v>0</v>
      </c>
      <c r="N22" s="16" t="n">
        <v>0.35</v>
      </c>
      <c r="O22" s="16" t="n">
        <f aca="false">IFERROR(16/N22,"")</f>
        <v>45.7142857142857</v>
      </c>
      <c r="P22" s="16" t="n">
        <v>30</v>
      </c>
      <c r="Q22" s="16" t="n">
        <v>1</v>
      </c>
      <c r="R22" s="16" t="s">
        <v>121</v>
      </c>
      <c r="S22" s="16" t="s">
        <v>122</v>
      </c>
      <c r="T22" s="16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3"/>
    <col collapsed="false" customWidth="true" hidden="false" outlineLevel="0" max="9" min="9" style="0" width="28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124</v>
      </c>
    </row>
    <row r="2" customFormat="false" ht="27.75" hidden="false" customHeight="true" outlineLevel="0" collapsed="false">
      <c r="A2" s="18" t="s">
        <v>125</v>
      </c>
    </row>
    <row r="4" customFormat="false" ht="33.75" hidden="false" customHeight="true" outlineLevel="0" collapsed="false">
      <c r="A4" s="4" t="s">
        <v>59</v>
      </c>
      <c r="B4" s="4" t="s">
        <v>60</v>
      </c>
      <c r="C4" s="4" t="s">
        <v>61</v>
      </c>
      <c r="D4" s="4" t="s">
        <v>126</v>
      </c>
      <c r="E4" s="4" t="s">
        <v>127</v>
      </c>
      <c r="F4" s="4" t="s">
        <v>128</v>
      </c>
      <c r="G4" s="4" t="s">
        <v>129</v>
      </c>
      <c r="H4" s="4" t="s">
        <v>130</v>
      </c>
      <c r="I4" s="4" t="s">
        <v>131</v>
      </c>
      <c r="J4" s="4" t="s">
        <v>78</v>
      </c>
    </row>
    <row r="5" customFormat="false" ht="15" hidden="false" customHeight="false" outlineLevel="0" collapsed="false">
      <c r="A5" s="11" t="n">
        <v>1</v>
      </c>
      <c r="B5" s="11" t="s">
        <v>79</v>
      </c>
      <c r="C5" s="12" t="s">
        <v>80</v>
      </c>
      <c r="D5" s="12" t="s">
        <v>132</v>
      </c>
      <c r="E5" s="11" t="s">
        <v>82</v>
      </c>
      <c r="F5" s="14"/>
      <c r="G5" s="14"/>
      <c r="H5" s="14"/>
      <c r="I5" s="14"/>
      <c r="J5" s="14"/>
    </row>
    <row r="6" customFormat="false" ht="35.05" hidden="false" customHeight="false" outlineLevel="0" collapsed="false">
      <c r="A6" s="11" t="n">
        <v>2</v>
      </c>
      <c r="B6" s="11" t="s">
        <v>83</v>
      </c>
      <c r="C6" s="12" t="s">
        <v>84</v>
      </c>
      <c r="D6" s="12" t="s">
        <v>133</v>
      </c>
      <c r="E6" s="11" t="s">
        <v>85</v>
      </c>
      <c r="F6" s="14"/>
      <c r="G6" s="14"/>
      <c r="H6" s="14"/>
      <c r="I6" s="14"/>
      <c r="J6" s="14"/>
    </row>
    <row r="7" customFormat="false" ht="15" hidden="false" customHeight="false" outlineLevel="0" collapsed="false">
      <c r="A7" s="11" t="n">
        <v>3</v>
      </c>
      <c r="B7" s="11" t="s">
        <v>86</v>
      </c>
      <c r="C7" s="12" t="s">
        <v>87</v>
      </c>
      <c r="D7" s="12" t="s">
        <v>132</v>
      </c>
      <c r="E7" s="11" t="s">
        <v>88</v>
      </c>
      <c r="F7" s="14"/>
      <c r="G7" s="14"/>
      <c r="H7" s="14"/>
      <c r="I7" s="14"/>
      <c r="J7" s="14"/>
    </row>
    <row r="8" customFormat="false" ht="23.85" hidden="false" customHeight="false" outlineLevel="0" collapsed="false">
      <c r="A8" s="11" t="n">
        <v>4</v>
      </c>
      <c r="B8" s="11" t="s">
        <v>89</v>
      </c>
      <c r="C8" s="12" t="s">
        <v>90</v>
      </c>
      <c r="D8" s="12" t="s">
        <v>134</v>
      </c>
      <c r="E8" s="11" t="s">
        <v>82</v>
      </c>
      <c r="F8" s="14"/>
      <c r="G8" s="14"/>
      <c r="H8" s="14"/>
      <c r="I8" s="14"/>
      <c r="J8" s="14"/>
    </row>
    <row r="9" customFormat="false" ht="23.85" hidden="false" customHeight="false" outlineLevel="0" collapsed="false">
      <c r="A9" s="11" t="n">
        <v>5</v>
      </c>
      <c r="B9" s="11" t="s">
        <v>92</v>
      </c>
      <c r="C9" s="12" t="s">
        <v>93</v>
      </c>
      <c r="D9" s="12" t="s">
        <v>135</v>
      </c>
      <c r="E9" s="11" t="s">
        <v>85</v>
      </c>
      <c r="F9" s="14"/>
      <c r="G9" s="14"/>
      <c r="H9" s="14"/>
      <c r="I9" s="14"/>
      <c r="J9" s="14"/>
    </row>
    <row r="10" customFormat="false" ht="23.85" hidden="false" customHeight="false" outlineLevel="0" collapsed="false">
      <c r="A10" s="11" t="n">
        <v>6</v>
      </c>
      <c r="B10" s="11" t="s">
        <v>94</v>
      </c>
      <c r="C10" s="12" t="s">
        <v>95</v>
      </c>
      <c r="D10" s="12" t="s">
        <v>136</v>
      </c>
      <c r="E10" s="11" t="s">
        <v>88</v>
      </c>
      <c r="F10" s="14"/>
      <c r="G10" s="14"/>
      <c r="H10" s="14"/>
      <c r="I10" s="14"/>
      <c r="J10" s="14"/>
    </row>
    <row r="11" customFormat="false" ht="23.85" hidden="false" customHeight="false" outlineLevel="0" collapsed="false">
      <c r="A11" s="11" t="n">
        <v>7</v>
      </c>
      <c r="B11" s="11" t="s">
        <v>96</v>
      </c>
      <c r="C11" s="12" t="s">
        <v>97</v>
      </c>
      <c r="D11" s="12" t="s">
        <v>137</v>
      </c>
      <c r="E11" s="11" t="s">
        <v>98</v>
      </c>
      <c r="F11" s="14"/>
      <c r="G11" s="14"/>
      <c r="H11" s="14"/>
      <c r="I11" s="14"/>
      <c r="J11" s="14"/>
    </row>
    <row r="12" customFormat="false" ht="23.85" hidden="false" customHeight="false" outlineLevel="0" collapsed="false">
      <c r="A12" s="11" t="n">
        <v>8</v>
      </c>
      <c r="B12" s="11" t="s">
        <v>99</v>
      </c>
      <c r="C12" s="12" t="s">
        <v>100</v>
      </c>
      <c r="D12" s="12" t="s">
        <v>138</v>
      </c>
      <c r="E12" s="11" t="s">
        <v>82</v>
      </c>
      <c r="F12" s="19" t="s">
        <v>139</v>
      </c>
      <c r="G12" s="14"/>
      <c r="H12" s="14"/>
      <c r="I12" s="14"/>
      <c r="J12" s="20" t="s">
        <v>140</v>
      </c>
    </row>
    <row r="13" customFormat="false" ht="23.85" hidden="false" customHeight="false" outlineLevel="0" collapsed="false">
      <c r="A13" s="11" t="n">
        <v>9</v>
      </c>
      <c r="B13" s="11" t="s">
        <v>102</v>
      </c>
      <c r="C13" s="12" t="s">
        <v>103</v>
      </c>
      <c r="D13" s="12" t="s">
        <v>138</v>
      </c>
      <c r="E13" s="11" t="s">
        <v>88</v>
      </c>
      <c r="F13" s="19" t="s">
        <v>139</v>
      </c>
      <c r="G13" s="14"/>
      <c r="H13" s="14"/>
      <c r="I13" s="14"/>
      <c r="J13" s="20" t="s">
        <v>140</v>
      </c>
    </row>
    <row r="14" customFormat="false" ht="23.85" hidden="false" customHeight="false" outlineLevel="0" collapsed="false">
      <c r="A14" s="11" t="n">
        <v>10</v>
      </c>
      <c r="B14" s="11" t="s">
        <v>104</v>
      </c>
      <c r="C14" s="12" t="s">
        <v>105</v>
      </c>
      <c r="D14" s="12" t="s">
        <v>141</v>
      </c>
      <c r="E14" s="11" t="s">
        <v>85</v>
      </c>
      <c r="F14" s="14"/>
      <c r="G14" s="14"/>
      <c r="H14" s="14"/>
      <c r="I14" s="14"/>
      <c r="J14" s="14"/>
    </row>
    <row r="15" customFormat="false" ht="15" hidden="false" customHeight="false" outlineLevel="0" collapsed="false">
      <c r="A15" s="11" t="n">
        <v>11</v>
      </c>
      <c r="B15" s="11" t="s">
        <v>107</v>
      </c>
      <c r="C15" s="12" t="s">
        <v>108</v>
      </c>
      <c r="D15" s="12" t="s">
        <v>132</v>
      </c>
      <c r="E15" s="11" t="s">
        <v>88</v>
      </c>
      <c r="F15" s="14"/>
      <c r="G15" s="14"/>
      <c r="H15" s="14"/>
      <c r="I15" s="14"/>
      <c r="J15" s="14"/>
    </row>
    <row r="16" customFormat="false" ht="23.85" hidden="false" customHeight="false" outlineLevel="0" collapsed="false">
      <c r="A16" s="11" t="n">
        <v>12</v>
      </c>
      <c r="B16" s="11" t="s">
        <v>109</v>
      </c>
      <c r="C16" s="12" t="s">
        <v>110</v>
      </c>
      <c r="D16" s="12" t="s">
        <v>142</v>
      </c>
      <c r="E16" s="11" t="s">
        <v>98</v>
      </c>
      <c r="F16" s="14"/>
      <c r="G16" s="14"/>
      <c r="H16" s="14"/>
      <c r="I16" s="14"/>
      <c r="J16" s="14"/>
    </row>
    <row r="17" customFormat="false" ht="23.85" hidden="false" customHeight="false" outlineLevel="0" collapsed="false">
      <c r="A17" s="11" t="n">
        <v>13</v>
      </c>
      <c r="B17" s="11" t="s">
        <v>111</v>
      </c>
      <c r="C17" s="12" t="s">
        <v>112</v>
      </c>
      <c r="D17" s="12" t="s">
        <v>143</v>
      </c>
      <c r="E17" s="11" t="s">
        <v>88</v>
      </c>
      <c r="F17" s="14"/>
      <c r="G17" s="14"/>
      <c r="H17" s="14"/>
      <c r="I17" s="14"/>
      <c r="J17" s="14"/>
    </row>
    <row r="18" customFormat="false" ht="23.85" hidden="false" customHeight="false" outlineLevel="0" collapsed="false">
      <c r="A18" s="11" t="n">
        <v>14</v>
      </c>
      <c r="B18" s="11" t="s">
        <v>114</v>
      </c>
      <c r="C18" s="12" t="s">
        <v>115</v>
      </c>
      <c r="D18" s="12" t="s">
        <v>138</v>
      </c>
      <c r="E18" s="11" t="s">
        <v>85</v>
      </c>
      <c r="F18" s="19" t="s">
        <v>139</v>
      </c>
      <c r="G18" s="14"/>
      <c r="H18" s="14"/>
      <c r="I18" s="14"/>
      <c r="J18" s="20" t="s">
        <v>140</v>
      </c>
    </row>
    <row r="19" customFormat="false" ht="23.85" hidden="false" customHeight="false" outlineLevel="0" collapsed="false">
      <c r="A19" s="11" t="n">
        <v>15</v>
      </c>
      <c r="B19" s="11" t="s">
        <v>114</v>
      </c>
      <c r="C19" s="12" t="s">
        <v>116</v>
      </c>
      <c r="D19" s="12" t="s">
        <v>138</v>
      </c>
      <c r="E19" s="11" t="s">
        <v>117</v>
      </c>
      <c r="F19" s="19" t="s">
        <v>139</v>
      </c>
      <c r="G19" s="14"/>
      <c r="H19" s="14"/>
      <c r="I19" s="14"/>
      <c r="J19" s="20" t="s">
        <v>140</v>
      </c>
    </row>
    <row r="20" customFormat="false" ht="15" hidden="false" customHeight="false" outlineLevel="0" collapsed="false">
      <c r="A20" s="11" t="n">
        <v>16</v>
      </c>
      <c r="B20" s="11" t="s">
        <v>118</v>
      </c>
      <c r="C20" s="12"/>
      <c r="D20" s="12"/>
      <c r="E20" s="11"/>
      <c r="F20" s="14"/>
      <c r="G20" s="14"/>
      <c r="H20" s="14"/>
      <c r="I20" s="14"/>
      <c r="J20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8" min="6" style="0" width="9"/>
    <col collapsed="false" customWidth="true" hidden="false" outlineLevel="0" max="10" min="9" style="0" width="8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26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1" t="s">
        <v>144</v>
      </c>
    </row>
    <row r="2" customFormat="false" ht="27.75" hidden="false" customHeight="true" outlineLevel="0" collapsed="false">
      <c r="A2" s="18" t="s">
        <v>145</v>
      </c>
    </row>
    <row r="4" customFormat="false" ht="33.75" hidden="false" customHeight="true" outlineLevel="0" collapsed="false">
      <c r="A4" s="4" t="s">
        <v>146</v>
      </c>
      <c r="B4" s="4" t="s">
        <v>61</v>
      </c>
      <c r="C4" s="4" t="s">
        <v>147</v>
      </c>
      <c r="D4" s="4" t="s">
        <v>148</v>
      </c>
      <c r="E4" s="4" t="s">
        <v>149</v>
      </c>
      <c r="F4" s="4" t="s">
        <v>66</v>
      </c>
      <c r="G4" s="4" t="s">
        <v>67</v>
      </c>
      <c r="H4" s="4" t="s">
        <v>150</v>
      </c>
      <c r="I4" s="4" t="s">
        <v>70</v>
      </c>
      <c r="J4" s="4" t="s">
        <v>71</v>
      </c>
      <c r="K4" s="4" t="s">
        <v>151</v>
      </c>
      <c r="L4" s="4" t="s">
        <v>152</v>
      </c>
      <c r="M4" s="4" t="s">
        <v>77</v>
      </c>
      <c r="N4" s="4" t="s">
        <v>78</v>
      </c>
    </row>
    <row r="5" customFormat="false" ht="15" hidden="false" customHeight="false" outlineLevel="0" collapsed="false">
      <c r="A5" s="11" t="s">
        <v>153</v>
      </c>
      <c r="B5" s="12" t="s">
        <v>154</v>
      </c>
      <c r="C5" s="11" t="s">
        <v>155</v>
      </c>
      <c r="D5" s="11" t="s">
        <v>156</v>
      </c>
      <c r="E5" s="14"/>
      <c r="F5" s="14"/>
      <c r="G5" s="14"/>
      <c r="H5" s="14"/>
      <c r="I5" s="14"/>
      <c r="J5" s="14"/>
      <c r="K5" s="14"/>
      <c r="L5" s="14"/>
      <c r="M5" s="14"/>
      <c r="N5" s="12" t="s">
        <v>157</v>
      </c>
    </row>
    <row r="6" customFormat="false" ht="23.85" hidden="false" customHeight="false" outlineLevel="0" collapsed="false">
      <c r="A6" s="11" t="s">
        <v>158</v>
      </c>
      <c r="B6" s="12" t="s">
        <v>159</v>
      </c>
      <c r="C6" s="11" t="s">
        <v>160</v>
      </c>
      <c r="D6" s="11" t="s">
        <v>161</v>
      </c>
      <c r="E6" s="14"/>
      <c r="F6" s="14"/>
      <c r="G6" s="14"/>
      <c r="H6" s="14"/>
      <c r="I6" s="14"/>
      <c r="J6" s="14"/>
      <c r="K6" s="14"/>
      <c r="L6" s="14"/>
      <c r="M6" s="14"/>
      <c r="N6" s="12" t="s">
        <v>162</v>
      </c>
    </row>
    <row r="7" customFormat="false" ht="15" hidden="false" customHeight="false" outlineLevel="0" collapsed="false">
      <c r="A7" s="11" t="s">
        <v>163</v>
      </c>
      <c r="B7" s="12" t="s">
        <v>164</v>
      </c>
      <c r="C7" s="11" t="s">
        <v>155</v>
      </c>
      <c r="D7" s="11" t="s">
        <v>165</v>
      </c>
      <c r="E7" s="14"/>
      <c r="F7" s="14"/>
      <c r="G7" s="14"/>
      <c r="H7" s="14"/>
      <c r="I7" s="14"/>
      <c r="J7" s="14"/>
      <c r="K7" s="14"/>
      <c r="L7" s="14"/>
      <c r="M7" s="14"/>
      <c r="N7" s="12" t="s">
        <v>166</v>
      </c>
    </row>
    <row r="8" customFormat="false" ht="15" hidden="false" customHeight="false" outlineLevel="0" collapsed="false">
      <c r="A8" s="11" t="s">
        <v>167</v>
      </c>
      <c r="B8" s="12" t="s">
        <v>168</v>
      </c>
      <c r="C8" s="11" t="s">
        <v>169</v>
      </c>
      <c r="D8" s="11" t="s">
        <v>161</v>
      </c>
      <c r="E8" s="14"/>
      <c r="F8" s="14"/>
      <c r="G8" s="14"/>
      <c r="H8" s="14"/>
      <c r="I8" s="14"/>
      <c r="J8" s="14"/>
      <c r="K8" s="14"/>
      <c r="L8" s="14"/>
      <c r="M8" s="14"/>
      <c r="N8" s="12" t="s">
        <v>170</v>
      </c>
    </row>
    <row r="9" customFormat="false" ht="23.85" hidden="false" customHeight="false" outlineLevel="0" collapsed="false">
      <c r="A9" s="11" t="s">
        <v>114</v>
      </c>
      <c r="B9" s="12" t="s">
        <v>171</v>
      </c>
      <c r="C9" s="11" t="s">
        <v>160</v>
      </c>
      <c r="D9" s="11" t="s">
        <v>156</v>
      </c>
      <c r="E9" s="14"/>
      <c r="F9" s="14"/>
      <c r="G9" s="14"/>
      <c r="H9" s="14"/>
      <c r="I9" s="14"/>
      <c r="J9" s="14"/>
      <c r="K9" s="14"/>
      <c r="L9" s="14"/>
      <c r="M9" s="14"/>
      <c r="N9" s="12" t="s">
        <v>172</v>
      </c>
    </row>
    <row r="10" customFormat="false" ht="23.85" hidden="false" customHeight="false" outlineLevel="0" collapsed="false">
      <c r="A10" s="11" t="s">
        <v>114</v>
      </c>
      <c r="B10" s="12" t="s">
        <v>173</v>
      </c>
      <c r="C10" s="11" t="s">
        <v>169</v>
      </c>
      <c r="D10" s="11" t="s">
        <v>156</v>
      </c>
      <c r="E10" s="14"/>
      <c r="F10" s="14"/>
      <c r="G10" s="14"/>
      <c r="H10" s="14"/>
      <c r="I10" s="14"/>
      <c r="J10" s="14"/>
      <c r="K10" s="14"/>
      <c r="L10" s="14"/>
      <c r="M10" s="14"/>
      <c r="N10" s="12" t="s">
        <v>174</v>
      </c>
    </row>
    <row r="11" customFormat="false" ht="15" hidden="false" customHeight="false" outlineLevel="0" collapsed="false">
      <c r="A11" s="11" t="s">
        <v>175</v>
      </c>
      <c r="B11" s="12" t="s">
        <v>176</v>
      </c>
      <c r="C11" s="11" t="s">
        <v>177</v>
      </c>
      <c r="D11" s="11" t="s">
        <v>121</v>
      </c>
      <c r="E11" s="14"/>
      <c r="F11" s="14"/>
      <c r="G11" s="14"/>
      <c r="H11" s="14"/>
      <c r="I11" s="14"/>
      <c r="J11" s="14"/>
      <c r="K11" s="14"/>
      <c r="L11" s="14"/>
      <c r="M11" s="14"/>
      <c r="N11" s="12" t="s">
        <v>178</v>
      </c>
    </row>
    <row r="12" customFormat="false" ht="23.85" hidden="false" customHeight="false" outlineLevel="0" collapsed="false">
      <c r="A12" s="11" t="s">
        <v>114</v>
      </c>
      <c r="B12" s="12" t="s">
        <v>179</v>
      </c>
      <c r="C12" s="11" t="s">
        <v>180</v>
      </c>
      <c r="D12" s="11" t="s">
        <v>121</v>
      </c>
      <c r="E12" s="14"/>
      <c r="F12" s="14"/>
      <c r="G12" s="14"/>
      <c r="H12" s="14"/>
      <c r="I12" s="14"/>
      <c r="J12" s="14"/>
      <c r="K12" s="14"/>
      <c r="L12" s="14"/>
      <c r="M12" s="14"/>
      <c r="N12" s="12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6" min="4" style="0" width="8"/>
    <col collapsed="false" customWidth="true" hidden="false" outlineLevel="0" max="9" min="7" style="0" width="9"/>
    <col collapsed="false" customWidth="true" hidden="false" outlineLevel="0" max="12" min="10" style="0" width="10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182</v>
      </c>
    </row>
    <row r="2" customFormat="false" ht="27.75" hidden="false" customHeight="true" outlineLevel="0" collapsed="false">
      <c r="A2" s="18" t="s">
        <v>183</v>
      </c>
    </row>
    <row r="3" customFormat="false" ht="15" hidden="false" customHeight="false" outlineLevel="0" collapsed="false">
      <c r="A3" s="10" t="s">
        <v>184</v>
      </c>
    </row>
    <row r="5" customFormat="false" ht="33.75" hidden="false" customHeight="true" outlineLevel="0" collapsed="false">
      <c r="A5" s="4" t="s">
        <v>185</v>
      </c>
      <c r="B5" s="4" t="s">
        <v>61</v>
      </c>
      <c r="C5" s="4" t="s">
        <v>186</v>
      </c>
      <c r="D5" s="4" t="s">
        <v>187</v>
      </c>
      <c r="E5" s="4" t="s">
        <v>188</v>
      </c>
      <c r="F5" s="4" t="s">
        <v>189</v>
      </c>
      <c r="G5" s="4" t="s">
        <v>190</v>
      </c>
      <c r="H5" s="4" t="s">
        <v>191</v>
      </c>
      <c r="I5" s="4" t="s">
        <v>192</v>
      </c>
      <c r="J5" s="4" t="s">
        <v>193</v>
      </c>
      <c r="K5" s="4" t="s">
        <v>194</v>
      </c>
      <c r="L5" s="4" t="s">
        <v>195</v>
      </c>
      <c r="M5" s="4" t="s">
        <v>78</v>
      </c>
    </row>
    <row r="6" customFormat="false" ht="15" hidden="false" customHeight="false" outlineLevel="0" collapsed="false">
      <c r="A6" s="11" t="s">
        <v>196</v>
      </c>
      <c r="B6" s="12" t="s">
        <v>197</v>
      </c>
      <c r="C6" s="11" t="s">
        <v>198</v>
      </c>
      <c r="D6" s="14"/>
      <c r="E6" s="14"/>
      <c r="F6" s="14"/>
      <c r="G6" s="14"/>
      <c r="H6" s="14"/>
      <c r="I6" s="14"/>
      <c r="J6" s="21" t="n">
        <f aca="false">IFERROR(G6*H6,"")</f>
        <v>0</v>
      </c>
      <c r="K6" s="21" t="n">
        <f aca="false">IFERROR(G6*I6,"")</f>
        <v>0</v>
      </c>
      <c r="L6" s="12" t="s">
        <v>199</v>
      </c>
      <c r="M6" s="22"/>
    </row>
    <row r="7" customFormat="false" ht="15" hidden="false" customHeight="false" outlineLevel="0" collapsed="false">
      <c r="A7" s="11" t="s">
        <v>200</v>
      </c>
      <c r="B7" s="12" t="s">
        <v>201</v>
      </c>
      <c r="C7" s="11" t="s">
        <v>202</v>
      </c>
      <c r="D7" s="14"/>
      <c r="E7" s="14"/>
      <c r="F7" s="14"/>
      <c r="G7" s="14"/>
      <c r="H7" s="14"/>
      <c r="I7" s="14"/>
      <c r="J7" s="21" t="n">
        <f aca="false">IFERROR(G7*H7,"")</f>
        <v>0</v>
      </c>
      <c r="K7" s="21" t="n">
        <f aca="false">IFERROR(G7*I7,"")</f>
        <v>0</v>
      </c>
      <c r="L7" s="12" t="s">
        <v>203</v>
      </c>
      <c r="M7" s="22"/>
    </row>
    <row r="8" customFormat="false" ht="23.85" hidden="false" customHeight="false" outlineLevel="0" collapsed="false">
      <c r="A8" s="11" t="s">
        <v>204</v>
      </c>
      <c r="B8" s="12" t="s">
        <v>205</v>
      </c>
      <c r="C8" s="11" t="s">
        <v>206</v>
      </c>
      <c r="D8" s="14"/>
      <c r="E8" s="14"/>
      <c r="F8" s="14"/>
      <c r="G8" s="14"/>
      <c r="H8" s="14"/>
      <c r="I8" s="14"/>
      <c r="J8" s="21" t="n">
        <f aca="false">IFERROR(G8*H8,"")</f>
        <v>0</v>
      </c>
      <c r="K8" s="21" t="n">
        <f aca="false">IFERROR(G8*I8,"")</f>
        <v>0</v>
      </c>
      <c r="L8" s="12" t="s">
        <v>207</v>
      </c>
      <c r="M8" s="22"/>
    </row>
    <row r="9" customFormat="false" ht="15" hidden="false" customHeight="false" outlineLevel="0" collapsed="false">
      <c r="A9" s="11" t="s">
        <v>114</v>
      </c>
      <c r="B9" s="12" t="s">
        <v>208</v>
      </c>
      <c r="C9" s="11" t="s">
        <v>209</v>
      </c>
      <c r="D9" s="14"/>
      <c r="E9" s="14"/>
      <c r="F9" s="14"/>
      <c r="G9" s="14"/>
      <c r="H9" s="14"/>
      <c r="I9" s="14"/>
      <c r="J9" s="21" t="n">
        <f aca="false">IFERROR(G9*H9,"")</f>
        <v>0</v>
      </c>
      <c r="K9" s="21" t="n">
        <f aca="false">IFERROR(G9*I9,"")</f>
        <v>0</v>
      </c>
      <c r="L9" s="12" t="s">
        <v>210</v>
      </c>
      <c r="M9" s="22"/>
    </row>
    <row r="10" customFormat="false" ht="15" hidden="false" customHeight="false" outlineLevel="0" collapsed="false">
      <c r="A10" s="11" t="s">
        <v>114</v>
      </c>
      <c r="B10" s="12" t="s">
        <v>211</v>
      </c>
      <c r="C10" s="11" t="s">
        <v>212</v>
      </c>
      <c r="D10" s="14"/>
      <c r="E10" s="14"/>
      <c r="F10" s="14"/>
      <c r="G10" s="14"/>
      <c r="H10" s="14"/>
      <c r="I10" s="14"/>
      <c r="J10" s="21" t="n">
        <f aca="false">IFERROR(G10*H10,"")</f>
        <v>0</v>
      </c>
      <c r="K10" s="21" t="n">
        <f aca="false">IFERROR(G10*I10,"")</f>
        <v>0</v>
      </c>
      <c r="L10" s="12" t="s">
        <v>199</v>
      </c>
      <c r="M10" s="22"/>
    </row>
    <row r="11" customFormat="false" ht="15" hidden="false" customHeight="false" outlineLevel="0" collapsed="false">
      <c r="A11" s="11" t="s">
        <v>114</v>
      </c>
      <c r="B11" s="12" t="s">
        <v>213</v>
      </c>
      <c r="C11" s="11" t="s">
        <v>214</v>
      </c>
      <c r="D11" s="14"/>
      <c r="E11" s="14"/>
      <c r="F11" s="14"/>
      <c r="G11" s="14"/>
      <c r="H11" s="14"/>
      <c r="I11" s="14"/>
      <c r="J11" s="21" t="n">
        <f aca="false">IFERROR(G11*H11,"")</f>
        <v>0</v>
      </c>
      <c r="K11" s="21" t="n">
        <f aca="false">IFERROR(G11*I11,"")</f>
        <v>0</v>
      </c>
      <c r="L11" s="12" t="s">
        <v>199</v>
      </c>
      <c r="M11" s="22"/>
    </row>
    <row r="12" customFormat="false" ht="15" hidden="false" customHeight="false" outlineLevel="0" collapsed="false">
      <c r="A12" s="11" t="s">
        <v>114</v>
      </c>
      <c r="B12" s="12" t="s">
        <v>215</v>
      </c>
      <c r="C12" s="11"/>
      <c r="D12" s="14"/>
      <c r="E12" s="14"/>
      <c r="F12" s="14"/>
      <c r="G12" s="14"/>
      <c r="H12" s="14"/>
      <c r="I12" s="14"/>
      <c r="J12" s="21" t="n">
        <f aca="false">IFERROR(G12*H12,"")</f>
        <v>0</v>
      </c>
      <c r="K12" s="21" t="n">
        <f aca="false">IFERROR(G12*I12,"")</f>
        <v>0</v>
      </c>
      <c r="L12" s="12" t="s">
        <v>216</v>
      </c>
      <c r="M12" s="22"/>
    </row>
    <row r="13" customFormat="false" ht="15" hidden="false" customHeight="false" outlineLevel="0" collapsed="false">
      <c r="A13" s="11" t="s">
        <v>114</v>
      </c>
      <c r="B13" s="12" t="s">
        <v>217</v>
      </c>
      <c r="C13" s="11"/>
      <c r="D13" s="14"/>
      <c r="E13" s="14"/>
      <c r="F13" s="14"/>
      <c r="G13" s="14"/>
      <c r="H13" s="14"/>
      <c r="I13" s="14"/>
      <c r="J13" s="21" t="n">
        <f aca="false">IFERROR(G13*H13,"")</f>
        <v>0</v>
      </c>
      <c r="K13" s="21" t="n">
        <f aca="false">IFERROR(G13*I13,"")</f>
        <v>0</v>
      </c>
      <c r="L13" s="12" t="s">
        <v>207</v>
      </c>
      <c r="M13" s="22"/>
    </row>
    <row r="14" customFormat="false" ht="15" hidden="false" customHeight="false" outlineLevel="0" collapsed="false">
      <c r="A14" s="23" t="s">
        <v>218</v>
      </c>
      <c r="D14" s="24" t="n">
        <f aca="false">SUM(D6:D13)</f>
        <v>0</v>
      </c>
      <c r="E14" s="24" t="n">
        <f aca="false">SUM(E6:E13)</f>
        <v>0</v>
      </c>
      <c r="F14" s="24" t="n">
        <f aca="false">SUM(F6:F13)</f>
        <v>0</v>
      </c>
    </row>
    <row r="16" customFormat="false" ht="15" hidden="false" customHeight="false" outlineLevel="0" collapsed="false">
      <c r="A16" s="10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34"/>
  </cols>
  <sheetData>
    <row r="1" customFormat="false" ht="17.35" hidden="false" customHeight="false" outlineLevel="0" collapsed="false">
      <c r="A1" s="1" t="s">
        <v>220</v>
      </c>
    </row>
    <row r="2" customFormat="false" ht="27.75" hidden="false" customHeight="true" outlineLevel="0" collapsed="false">
      <c r="A2" s="18" t="s">
        <v>221</v>
      </c>
    </row>
    <row r="4" customFormat="false" ht="33.75" hidden="false" customHeight="true" outlineLevel="0" collapsed="false">
      <c r="A4" s="4" t="s">
        <v>222</v>
      </c>
      <c r="B4" s="4" t="s">
        <v>223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78</v>
      </c>
    </row>
    <row r="5" customFormat="false" ht="15" hidden="false" customHeight="false" outlineLevel="0" collapsed="false">
      <c r="A5" s="11" t="n">
        <v>5</v>
      </c>
      <c r="B5" s="11" t="s">
        <v>187</v>
      </c>
      <c r="C5" s="14"/>
      <c r="D5" s="14"/>
      <c r="E5" s="21" t="str">
        <f aca="false">IFERROR(D5/C5,"")</f>
        <v/>
      </c>
      <c r="F5" s="14"/>
      <c r="G5" s="14"/>
      <c r="H5" s="14"/>
      <c r="I5" s="14"/>
    </row>
    <row r="6" customFormat="false" ht="15" hidden="false" customHeight="false" outlineLevel="0" collapsed="false">
      <c r="A6" s="11" t="n">
        <v>5</v>
      </c>
      <c r="B6" s="11" t="s">
        <v>230</v>
      </c>
      <c r="C6" s="14"/>
      <c r="D6" s="14"/>
      <c r="E6" s="21" t="str">
        <f aca="false">IFERROR(D6/C6,"")</f>
        <v/>
      </c>
      <c r="F6" s="14"/>
      <c r="G6" s="14"/>
      <c r="H6" s="14"/>
      <c r="I6" s="14"/>
    </row>
    <row r="7" customFormat="false" ht="15" hidden="false" customHeight="false" outlineLevel="0" collapsed="false">
      <c r="A7" s="11" t="n">
        <v>10</v>
      </c>
      <c r="B7" s="11" t="s">
        <v>187</v>
      </c>
      <c r="C7" s="14"/>
      <c r="D7" s="14"/>
      <c r="E7" s="21" t="str">
        <f aca="false">IFERROR(D7/C7,"")</f>
        <v/>
      </c>
      <c r="F7" s="14"/>
      <c r="G7" s="14"/>
      <c r="H7" s="14"/>
      <c r="I7" s="14"/>
    </row>
    <row r="8" customFormat="false" ht="15" hidden="false" customHeight="false" outlineLevel="0" collapsed="false">
      <c r="A8" s="11" t="n">
        <v>10</v>
      </c>
      <c r="B8" s="11" t="s">
        <v>230</v>
      </c>
      <c r="C8" s="14"/>
      <c r="D8" s="14"/>
      <c r="E8" s="21" t="str">
        <f aca="false">IFERROR(D8/C8,"")</f>
        <v/>
      </c>
      <c r="F8" s="14"/>
      <c r="G8" s="14"/>
      <c r="H8" s="14"/>
      <c r="I8" s="14"/>
    </row>
    <row r="9" customFormat="false" ht="15" hidden="false" customHeight="false" outlineLevel="0" collapsed="false">
      <c r="A9" s="11" t="n">
        <v>15</v>
      </c>
      <c r="B9" s="11" t="s">
        <v>187</v>
      </c>
      <c r="C9" s="14"/>
      <c r="D9" s="14"/>
      <c r="E9" s="21" t="str">
        <f aca="false">IFERROR(D9/C9,"")</f>
        <v/>
      </c>
      <c r="F9" s="14"/>
      <c r="G9" s="14"/>
      <c r="H9" s="14"/>
      <c r="I9" s="14"/>
    </row>
    <row r="10" customFormat="false" ht="15" hidden="false" customHeight="false" outlineLevel="0" collapsed="false">
      <c r="A10" s="11" t="n">
        <v>15</v>
      </c>
      <c r="B10" s="11" t="s">
        <v>230</v>
      </c>
      <c r="C10" s="14"/>
      <c r="D10" s="14"/>
      <c r="E10" s="21" t="str">
        <f aca="false">IFERROR(D10/C10,"")</f>
        <v/>
      </c>
      <c r="F10" s="14"/>
      <c r="G10" s="14"/>
      <c r="H10" s="14"/>
      <c r="I10" s="14"/>
    </row>
    <row r="11" customFormat="false" ht="15" hidden="false" customHeight="false" outlineLevel="0" collapsed="false">
      <c r="A11" s="11" t="n">
        <v>20</v>
      </c>
      <c r="B11" s="11" t="s">
        <v>187</v>
      </c>
      <c r="C11" s="14"/>
      <c r="D11" s="14"/>
      <c r="E11" s="21" t="str">
        <f aca="false">IFERROR(D11/C11,"")</f>
        <v/>
      </c>
      <c r="F11" s="14"/>
      <c r="G11" s="14"/>
      <c r="H11" s="14"/>
      <c r="I11" s="14"/>
    </row>
    <row r="12" customFormat="false" ht="15" hidden="false" customHeight="false" outlineLevel="0" collapsed="false">
      <c r="A12" s="11" t="n">
        <v>20</v>
      </c>
      <c r="B12" s="11" t="s">
        <v>230</v>
      </c>
      <c r="C12" s="14"/>
      <c r="D12" s="14"/>
      <c r="E12" s="21" t="str">
        <f aca="false">IFERROR(D12/C12,"")</f>
        <v/>
      </c>
      <c r="F12" s="14"/>
      <c r="G12" s="14"/>
      <c r="H12" s="14"/>
      <c r="I12" s="14"/>
    </row>
    <row r="13" customFormat="false" ht="15" hidden="false" customHeight="false" outlineLevel="0" collapsed="false">
      <c r="A13" s="11" t="n">
        <v>25</v>
      </c>
      <c r="B13" s="11" t="s">
        <v>187</v>
      </c>
      <c r="C13" s="14"/>
      <c r="D13" s="14"/>
      <c r="E13" s="21" t="str">
        <f aca="false">IFERROR(D13/C13,"")</f>
        <v/>
      </c>
      <c r="F13" s="14"/>
      <c r="G13" s="14"/>
      <c r="H13" s="14"/>
      <c r="I13" s="14"/>
    </row>
    <row r="14" customFormat="false" ht="15" hidden="false" customHeight="false" outlineLevel="0" collapsed="false">
      <c r="A14" s="11" t="n">
        <v>25</v>
      </c>
      <c r="B14" s="11" t="s">
        <v>230</v>
      </c>
      <c r="C14" s="14"/>
      <c r="D14" s="14"/>
      <c r="E14" s="21" t="str">
        <f aca="false">IFERROR(D14/C14,"")</f>
        <v/>
      </c>
      <c r="F14" s="14"/>
      <c r="G14" s="14"/>
      <c r="H14" s="14"/>
      <c r="I14" s="14"/>
    </row>
    <row r="15" customFormat="false" ht="15" hidden="false" customHeight="false" outlineLevel="0" collapsed="false">
      <c r="A15" s="11" t="n">
        <v>30</v>
      </c>
      <c r="B15" s="11" t="s">
        <v>187</v>
      </c>
      <c r="C15" s="14"/>
      <c r="D15" s="14"/>
      <c r="E15" s="21" t="str">
        <f aca="false">IFERROR(D15/C15,"")</f>
        <v/>
      </c>
      <c r="F15" s="14"/>
      <c r="G15" s="14"/>
      <c r="H15" s="14"/>
      <c r="I15" s="14"/>
    </row>
    <row r="16" customFormat="false" ht="15" hidden="false" customHeight="false" outlineLevel="0" collapsed="false">
      <c r="A16" s="11" t="n">
        <v>30</v>
      </c>
      <c r="B16" s="11" t="s">
        <v>230</v>
      </c>
      <c r="C16" s="14"/>
      <c r="D16" s="14"/>
      <c r="E16" s="21" t="str">
        <f aca="false">IFERROR(D16/C16,"")</f>
        <v/>
      </c>
      <c r="F16" s="14"/>
      <c r="G16" s="14"/>
      <c r="H16" s="14"/>
      <c r="I16" s="14"/>
    </row>
    <row r="17" customFormat="false" ht="15" hidden="false" customHeight="false" outlineLevel="0" collapsed="false">
      <c r="A17" s="11" t="n">
        <v>35</v>
      </c>
      <c r="B17" s="11" t="s">
        <v>187</v>
      </c>
      <c r="C17" s="14"/>
      <c r="D17" s="14"/>
      <c r="E17" s="21" t="str">
        <f aca="false">IFERROR(D17/C17,"")</f>
        <v/>
      </c>
      <c r="F17" s="14"/>
      <c r="G17" s="14"/>
      <c r="H17" s="14"/>
      <c r="I17" s="14"/>
    </row>
    <row r="18" customFormat="false" ht="15" hidden="false" customHeight="false" outlineLevel="0" collapsed="false">
      <c r="A18" s="11" t="n">
        <v>35</v>
      </c>
      <c r="B18" s="11" t="s">
        <v>230</v>
      </c>
      <c r="C18" s="14"/>
      <c r="D18" s="14"/>
      <c r="E18" s="21" t="str">
        <f aca="false">IFERROR(D18/C18,"")</f>
        <v/>
      </c>
      <c r="F18" s="14"/>
      <c r="G18" s="14"/>
      <c r="H18" s="14"/>
      <c r="I18" s="14"/>
    </row>
    <row r="19" customFormat="false" ht="15" hidden="false" customHeight="false" outlineLevel="0" collapsed="false">
      <c r="A19" s="11" t="n">
        <v>40</v>
      </c>
      <c r="B19" s="11" t="s">
        <v>187</v>
      </c>
      <c r="C19" s="14"/>
      <c r="D19" s="14"/>
      <c r="E19" s="21" t="str">
        <f aca="false">IFERROR(D19/C19,"")</f>
        <v/>
      </c>
      <c r="F19" s="14"/>
      <c r="G19" s="14"/>
      <c r="H19" s="14"/>
      <c r="I19" s="14"/>
    </row>
    <row r="20" customFormat="false" ht="15" hidden="false" customHeight="false" outlineLevel="0" collapsed="false">
      <c r="A20" s="11" t="n">
        <v>40</v>
      </c>
      <c r="B20" s="11" t="s">
        <v>230</v>
      </c>
      <c r="C20" s="14"/>
      <c r="D20" s="14"/>
      <c r="E20" s="21" t="str">
        <f aca="false">IFERROR(D20/C20,"")</f>
        <v/>
      </c>
      <c r="F20" s="14"/>
      <c r="G20" s="14"/>
      <c r="H20" s="14"/>
      <c r="I20" s="14"/>
    </row>
    <row r="21" customFormat="false" ht="15" hidden="false" customHeight="false" outlineLevel="0" collapsed="false">
      <c r="A21" s="11" t="n">
        <v>45</v>
      </c>
      <c r="B21" s="11" t="s">
        <v>187</v>
      </c>
      <c r="C21" s="14"/>
      <c r="D21" s="14"/>
      <c r="E21" s="21" t="str">
        <f aca="false">IFERROR(D21/C21,"")</f>
        <v/>
      </c>
      <c r="F21" s="14"/>
      <c r="G21" s="14"/>
      <c r="H21" s="14"/>
      <c r="I21" s="14"/>
    </row>
    <row r="22" customFormat="false" ht="15" hidden="false" customHeight="false" outlineLevel="0" collapsed="false">
      <c r="A22" s="11" t="n">
        <v>45</v>
      </c>
      <c r="B22" s="11" t="s">
        <v>230</v>
      </c>
      <c r="C22" s="14"/>
      <c r="D22" s="14"/>
      <c r="E22" s="21" t="str">
        <f aca="false">IFERROR(D22/C22,"")</f>
        <v/>
      </c>
      <c r="F22" s="14"/>
      <c r="G22" s="14"/>
      <c r="H22" s="14"/>
      <c r="I22" s="14"/>
    </row>
    <row r="23" customFormat="false" ht="15" hidden="false" customHeight="false" outlineLevel="0" collapsed="false">
      <c r="A23" s="11" t="n">
        <v>50</v>
      </c>
      <c r="B23" s="11" t="s">
        <v>187</v>
      </c>
      <c r="C23" s="14"/>
      <c r="D23" s="14"/>
      <c r="E23" s="21" t="str">
        <f aca="false">IFERROR(D23/C23,"")</f>
        <v/>
      </c>
      <c r="F23" s="14"/>
      <c r="G23" s="14"/>
      <c r="H23" s="14"/>
      <c r="I23" s="14"/>
    </row>
    <row r="24" customFormat="false" ht="15" hidden="false" customHeight="false" outlineLevel="0" collapsed="false">
      <c r="A24" s="11" t="n">
        <v>50</v>
      </c>
      <c r="B24" s="11" t="s">
        <v>230</v>
      </c>
      <c r="C24" s="14"/>
      <c r="D24" s="14"/>
      <c r="E24" s="21" t="str">
        <f aca="false">IFERROR(D24/C24,"")</f>
        <v/>
      </c>
      <c r="F24" s="14"/>
      <c r="G24" s="14"/>
      <c r="H24" s="14"/>
      <c r="I24" s="14"/>
    </row>
    <row r="26" customFormat="false" ht="15" hidden="false" customHeight="false" outlineLevel="0" collapsed="false">
      <c r="A26" s="3" t="s">
        <v>231</v>
      </c>
    </row>
    <row r="27" customFormat="false" ht="15" hidden="false" customHeight="false" outlineLevel="0" collapsed="false">
      <c r="A27" s="10" t="s">
        <v>222</v>
      </c>
      <c r="B27" s="10" t="s">
        <v>147</v>
      </c>
      <c r="C27" s="10" t="s">
        <v>232</v>
      </c>
      <c r="D27" s="10" t="s">
        <v>233</v>
      </c>
    </row>
    <row r="28" customFormat="false" ht="15" hidden="false" customHeight="false" outlineLevel="0" collapsed="false">
      <c r="A28" s="10" t="n">
        <v>5</v>
      </c>
      <c r="B28" s="10" t="s">
        <v>187</v>
      </c>
      <c r="C28" s="10" t="n">
        <v>8</v>
      </c>
      <c r="D28" s="10" t="n">
        <v>3</v>
      </c>
    </row>
    <row r="29" customFormat="false" ht="15" hidden="false" customHeight="false" outlineLevel="0" collapsed="false">
      <c r="A29" s="10" t="n">
        <v>10</v>
      </c>
      <c r="B29" s="10" t="s">
        <v>230</v>
      </c>
      <c r="C29" s="10" t="n">
        <v>13</v>
      </c>
      <c r="D29" s="10" t="n">
        <v>10</v>
      </c>
    </row>
    <row r="30" customFormat="false" ht="15" hidden="false" customHeight="false" outlineLevel="0" collapsed="false">
      <c r="A30" s="10" t="n">
        <v>43</v>
      </c>
      <c r="B30" s="10" t="s">
        <v>189</v>
      </c>
      <c r="C30" s="10" t="n">
        <v>35</v>
      </c>
      <c r="D30" s="10" t="n">
        <v>35</v>
      </c>
    </row>
    <row r="31" customFormat="false" ht="15" hidden="false" customHeight="false" outlineLevel="0" collapsed="false">
      <c r="A31" s="10" t="n">
        <v>47</v>
      </c>
      <c r="B31" s="10" t="s">
        <v>230</v>
      </c>
      <c r="C31" s="10" t="n">
        <v>35</v>
      </c>
      <c r="D31" s="10" t="n">
        <v>35</v>
      </c>
    </row>
    <row r="32" customFormat="false" ht="15" hidden="false" customHeight="false" outlineLevel="0" collapsed="false">
      <c r="A32" s="10" t="s">
        <v>234</v>
      </c>
      <c r="B32" s="10" t="s">
        <v>187</v>
      </c>
      <c r="C32" s="10" t="n">
        <v>25</v>
      </c>
      <c r="D32" s="10" t="n">
        <v>25</v>
      </c>
    </row>
    <row r="34" customFormat="false" ht="15" hidden="false" customHeight="false" outlineLevel="0" collapsed="false">
      <c r="A34" s="10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2026-08-22T20:32:08Z</dcterms:created>
  <dc:creator>openpyxl</dc:creator>
  <dc:description/>
  <dc:language>en-US</dc:language>
  <cp:lastModifiedBy/>
  <dcterms:modified xsi:type="dcterms:W3CDTF">2026-08-22T20:32:08Z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