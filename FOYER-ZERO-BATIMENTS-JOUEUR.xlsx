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8_{E9DD28A2-8EB0-684F-BE19-0B440F6FCC1D}" xr6:coauthVersionLast="47" xr6:coauthVersionMax="47" xr10:uidLastSave="{00000000-0000-0000-0000-000000000000}"/>
  <bookViews>
    <workbookView xWindow="0" yWindow="0" windowWidth="16384" windowHeight="8192" tabRatio="500" activeTab="4" xr2:uid="{00000000-000D-0000-FFFF-FFFF00000000}"/>
  </bookViews>
  <sheets>
    <sheet name="LISEZ-MOI" sheetId="1" r:id="rId1"/>
    <sheet name="BATIMENTS" sheetId="2" r:id="rId2"/>
    <sheet name="EFFETS" sheetId="3" r:id="rId3"/>
    <sheet name="COURBE" sheetId="4" r:id="rId4"/>
    <sheet name="TROUS" sheetId="5" r:id="rId5"/>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3" i="4" l="1"/>
  <c r="E14" i="4"/>
  <c r="F14" i="4"/>
  <c r="G14" i="4"/>
  <c r="H14" i="4"/>
  <c r="I14" i="4"/>
  <c r="J14" i="4"/>
  <c r="K14" i="4"/>
  <c r="L14" i="4"/>
  <c r="M14" i="4"/>
  <c r="N14" i="4"/>
  <c r="O14" i="4"/>
  <c r="E15" i="4"/>
  <c r="F15" i="4"/>
  <c r="G15" i="4"/>
  <c r="H15" i="4"/>
  <c r="I15" i="4"/>
  <c r="J15" i="4"/>
  <c r="K15" i="4"/>
  <c r="L15" i="4"/>
  <c r="M15" i="4"/>
  <c r="N15" i="4"/>
  <c r="O15" i="4"/>
  <c r="E16" i="4"/>
  <c r="F16" i="4"/>
  <c r="G16" i="4"/>
  <c r="H16" i="4"/>
  <c r="I16" i="4"/>
  <c r="J16" i="4"/>
  <c r="K16" i="4"/>
  <c r="L16" i="4"/>
  <c r="M16" i="4"/>
  <c r="N16" i="4"/>
  <c r="O16" i="4"/>
  <c r="E17" i="4"/>
  <c r="F17" i="4"/>
  <c r="G17" i="4"/>
  <c r="H17" i="4"/>
  <c r="I17" i="4"/>
  <c r="J17" i="4"/>
  <c r="K17" i="4"/>
  <c r="L17" i="4"/>
  <c r="M17" i="4"/>
  <c r="N17" i="4"/>
  <c r="O17" i="4"/>
  <c r="E18" i="4"/>
  <c r="F18" i="4"/>
  <c r="G18" i="4"/>
  <c r="H18" i="4"/>
  <c r="I18" i="4"/>
  <c r="J18" i="4"/>
  <c r="K18" i="4"/>
  <c r="L18" i="4"/>
  <c r="M18" i="4"/>
  <c r="N18" i="4"/>
  <c r="O18" i="4"/>
  <c r="E19" i="4"/>
  <c r="F19" i="4"/>
  <c r="G19" i="4"/>
  <c r="H19" i="4"/>
  <c r="I19" i="4"/>
  <c r="J19" i="4"/>
  <c r="K19" i="4"/>
  <c r="L19" i="4"/>
  <c r="M19" i="4"/>
  <c r="N19" i="4"/>
  <c r="O19" i="4"/>
  <c r="E20" i="4"/>
  <c r="F20" i="4"/>
  <c r="G20" i="4"/>
  <c r="H20" i="4"/>
  <c r="I20" i="4"/>
  <c r="J20" i="4"/>
  <c r="K20" i="4"/>
  <c r="L20" i="4"/>
  <c r="M20" i="4"/>
  <c r="N20" i="4"/>
  <c r="O20" i="4"/>
  <c r="E21" i="4"/>
  <c r="F21" i="4"/>
  <c r="G21" i="4"/>
  <c r="H21" i="4"/>
  <c r="I21" i="4"/>
  <c r="J21" i="4"/>
  <c r="K21" i="4"/>
  <c r="L21" i="4"/>
  <c r="M21" i="4"/>
  <c r="N21" i="4"/>
  <c r="O21" i="4"/>
  <c r="E22" i="4"/>
  <c r="F22" i="4"/>
  <c r="G22" i="4"/>
  <c r="H22" i="4"/>
  <c r="I22" i="4"/>
  <c r="J22" i="4"/>
  <c r="K22" i="4"/>
  <c r="L22" i="4"/>
  <c r="M22" i="4"/>
  <c r="N22" i="4"/>
  <c r="O22" i="4"/>
  <c r="E23" i="4"/>
  <c r="F23" i="4"/>
  <c r="G23" i="4"/>
  <c r="H23" i="4"/>
  <c r="I23" i="4"/>
  <c r="J23" i="4"/>
  <c r="K23" i="4"/>
  <c r="L23" i="4"/>
  <c r="M23" i="4"/>
  <c r="N23" i="4"/>
  <c r="O23" i="4"/>
  <c r="E24" i="4"/>
  <c r="F24" i="4"/>
  <c r="G24" i="4"/>
  <c r="H24" i="4"/>
  <c r="I24" i="4"/>
  <c r="J24" i="4"/>
  <c r="K24" i="4"/>
  <c r="L24" i="4"/>
  <c r="M24" i="4"/>
  <c r="N24" i="4"/>
  <c r="O24" i="4"/>
  <c r="E25" i="4"/>
  <c r="F25" i="4"/>
  <c r="G25" i="4"/>
  <c r="H25" i="4"/>
  <c r="I25" i="4"/>
  <c r="J25" i="4"/>
  <c r="K25" i="4"/>
  <c r="L25" i="4"/>
  <c r="M25" i="4"/>
  <c r="N25" i="4"/>
  <c r="O25" i="4"/>
  <c r="E26" i="4"/>
  <c r="F26" i="4"/>
  <c r="G26" i="4"/>
  <c r="H26" i="4"/>
  <c r="I26" i="4"/>
  <c r="J26" i="4"/>
  <c r="K26" i="4"/>
  <c r="L26" i="4"/>
  <c r="M26" i="4"/>
  <c r="N26" i="4"/>
  <c r="O26" i="4"/>
  <c r="E27" i="4"/>
  <c r="F27" i="4"/>
  <c r="G27" i="4"/>
  <c r="H27" i="4"/>
  <c r="I27" i="4"/>
  <c r="J27" i="4"/>
  <c r="K27" i="4"/>
  <c r="L27" i="4"/>
  <c r="M27" i="4"/>
  <c r="N27" i="4"/>
  <c r="O27" i="4"/>
  <c r="E28" i="4"/>
  <c r="F28" i="4"/>
  <c r="G28" i="4"/>
  <c r="H28" i="4"/>
  <c r="I28" i="4"/>
  <c r="J28" i="4"/>
  <c r="K28" i="4"/>
  <c r="L28" i="4"/>
  <c r="M28" i="4"/>
  <c r="N28" i="4"/>
  <c r="O28" i="4"/>
  <c r="E29" i="4"/>
  <c r="F29" i="4"/>
  <c r="G29" i="4"/>
  <c r="H29" i="4"/>
  <c r="I29" i="4"/>
  <c r="J29" i="4"/>
  <c r="K29" i="4"/>
  <c r="L29" i="4"/>
  <c r="M29" i="4"/>
  <c r="N29" i="4"/>
  <c r="O29" i="4"/>
  <c r="E30" i="4"/>
  <c r="F30" i="4"/>
  <c r="G30" i="4"/>
  <c r="H30" i="4"/>
  <c r="I30" i="4"/>
  <c r="J30" i="4"/>
  <c r="K30" i="4"/>
  <c r="L30" i="4"/>
  <c r="M30" i="4"/>
  <c r="N30" i="4"/>
  <c r="O30" i="4"/>
  <c r="E31" i="4"/>
  <c r="F31" i="4"/>
  <c r="G31" i="4"/>
  <c r="H31" i="4"/>
  <c r="I31" i="4"/>
  <c r="J31" i="4"/>
  <c r="K31" i="4"/>
  <c r="L31" i="4"/>
  <c r="M31" i="4"/>
  <c r="N31" i="4"/>
  <c r="O31" i="4"/>
  <c r="E32" i="4"/>
  <c r="F32" i="4"/>
  <c r="G32" i="4"/>
  <c r="H32" i="4"/>
  <c r="I32" i="4"/>
  <c r="J32" i="4"/>
  <c r="K32" i="4"/>
  <c r="L32" i="4"/>
  <c r="M32" i="4"/>
  <c r="N32" i="4"/>
  <c r="O32" i="4"/>
  <c r="E33" i="4"/>
  <c r="F33" i="4"/>
  <c r="G33" i="4"/>
  <c r="H33" i="4"/>
  <c r="I33" i="4"/>
  <c r="J33" i="4"/>
  <c r="K33" i="4"/>
  <c r="L33" i="4"/>
  <c r="M33" i="4"/>
  <c r="N33" i="4"/>
  <c r="O33" i="4"/>
  <c r="E34" i="4"/>
  <c r="F34" i="4"/>
  <c r="G34" i="4"/>
  <c r="H34" i="4"/>
  <c r="I34" i="4"/>
  <c r="J34" i="4"/>
  <c r="K34" i="4"/>
  <c r="L34" i="4"/>
  <c r="M34" i="4"/>
  <c r="N34" i="4"/>
  <c r="O34" i="4"/>
  <c r="E35" i="4"/>
  <c r="F35" i="4"/>
  <c r="G35" i="4"/>
  <c r="H35" i="4"/>
  <c r="I35" i="4"/>
  <c r="J35" i="4"/>
  <c r="K35" i="4"/>
  <c r="L35" i="4"/>
  <c r="M35" i="4"/>
  <c r="N35" i="4"/>
  <c r="O35" i="4"/>
  <c r="E36" i="4"/>
  <c r="F36" i="4"/>
  <c r="G36" i="4"/>
  <c r="H36" i="4"/>
  <c r="I36" i="4"/>
  <c r="J36" i="4"/>
  <c r="K36" i="4"/>
  <c r="L36" i="4"/>
  <c r="M36" i="4"/>
  <c r="N36" i="4"/>
  <c r="O36" i="4"/>
  <c r="E37" i="4"/>
  <c r="F37" i="4"/>
  <c r="G37" i="4"/>
  <c r="H37" i="4"/>
  <c r="I37" i="4"/>
  <c r="J37" i="4"/>
  <c r="K37" i="4"/>
  <c r="L37" i="4"/>
  <c r="M37" i="4"/>
  <c r="N37" i="4"/>
  <c r="O37" i="4"/>
  <c r="E38" i="4"/>
  <c r="F38" i="4"/>
  <c r="G38" i="4"/>
  <c r="H38" i="4"/>
  <c r="I38" i="4"/>
  <c r="J38" i="4"/>
  <c r="K38" i="4"/>
  <c r="L38" i="4"/>
  <c r="M38" i="4"/>
  <c r="N38" i="4"/>
  <c r="O38" i="4"/>
  <c r="E39" i="4"/>
  <c r="F39" i="4"/>
  <c r="G39" i="4"/>
  <c r="H39" i="4"/>
  <c r="I39" i="4"/>
  <c r="J39" i="4"/>
  <c r="K39" i="4"/>
  <c r="L39" i="4"/>
  <c r="M39" i="4"/>
  <c r="N39" i="4"/>
  <c r="O39" i="4"/>
  <c r="E40" i="4"/>
  <c r="F40" i="4"/>
  <c r="G40" i="4"/>
  <c r="H40" i="4"/>
  <c r="I40" i="4"/>
  <c r="J40" i="4"/>
  <c r="K40" i="4"/>
  <c r="L40" i="4"/>
  <c r="M40" i="4"/>
  <c r="N40" i="4"/>
  <c r="O40" i="4"/>
  <c r="E41" i="4"/>
  <c r="F41" i="4"/>
  <c r="G41" i="4"/>
  <c r="H41" i="4"/>
  <c r="I41" i="4"/>
  <c r="J41" i="4"/>
  <c r="K41" i="4"/>
  <c r="L41" i="4"/>
  <c r="M41" i="4"/>
  <c r="N41" i="4"/>
  <c r="O41" i="4"/>
  <c r="E42" i="4"/>
  <c r="F42" i="4"/>
  <c r="G42" i="4"/>
  <c r="H42" i="4"/>
  <c r="I42" i="4"/>
  <c r="J42" i="4"/>
  <c r="K42" i="4"/>
  <c r="L42" i="4"/>
  <c r="M42" i="4"/>
  <c r="N42" i="4"/>
  <c r="O42" i="4"/>
  <c r="E43" i="4"/>
  <c r="F43" i="4"/>
  <c r="G43" i="4"/>
  <c r="H43" i="4"/>
  <c r="I43" i="4"/>
  <c r="J43" i="4"/>
  <c r="K43" i="4"/>
  <c r="L43" i="4"/>
  <c r="M43" i="4"/>
  <c r="N43" i="4"/>
  <c r="O43" i="4"/>
  <c r="E44" i="4"/>
  <c r="F44" i="4"/>
  <c r="G44" i="4"/>
  <c r="H44" i="4"/>
  <c r="I44" i="4"/>
  <c r="J44" i="4"/>
  <c r="K44" i="4"/>
  <c r="L44" i="4"/>
  <c r="M44" i="4"/>
  <c r="N44" i="4"/>
  <c r="O44" i="4"/>
  <c r="E45" i="4"/>
  <c r="F45" i="4"/>
  <c r="G45" i="4"/>
  <c r="H45" i="4"/>
  <c r="I45" i="4"/>
  <c r="J45" i="4"/>
  <c r="K45" i="4"/>
  <c r="L45" i="4"/>
  <c r="M45" i="4"/>
  <c r="N45" i="4"/>
  <c r="O45" i="4"/>
  <c r="E46" i="4"/>
  <c r="F46" i="4"/>
  <c r="G46" i="4"/>
  <c r="H46" i="4"/>
  <c r="I46" i="4"/>
  <c r="J46" i="4"/>
  <c r="K46" i="4"/>
  <c r="L46" i="4"/>
  <c r="M46" i="4"/>
  <c r="N46" i="4"/>
  <c r="O46" i="4"/>
  <c r="E47" i="4"/>
  <c r="F47" i="4"/>
  <c r="G47" i="4"/>
  <c r="H47" i="4"/>
  <c r="I47" i="4"/>
  <c r="J47" i="4"/>
  <c r="K47" i="4"/>
  <c r="L47" i="4"/>
  <c r="M47" i="4"/>
  <c r="N47" i="4"/>
  <c r="O47" i="4"/>
  <c r="E48" i="4"/>
  <c r="F48" i="4"/>
  <c r="G48" i="4"/>
  <c r="H48" i="4"/>
  <c r="I48" i="4"/>
  <c r="J48" i="4"/>
  <c r="K48" i="4"/>
  <c r="L48" i="4"/>
  <c r="M48" i="4"/>
  <c r="N48" i="4"/>
  <c r="O48" i="4"/>
  <c r="E49" i="4"/>
  <c r="F49" i="4"/>
  <c r="G49" i="4"/>
  <c r="H49" i="4"/>
  <c r="I49" i="4"/>
  <c r="J49" i="4"/>
  <c r="K49" i="4"/>
  <c r="L49" i="4"/>
  <c r="M49" i="4"/>
  <c r="N49" i="4"/>
  <c r="O49" i="4"/>
  <c r="E50" i="4"/>
  <c r="F50" i="4"/>
  <c r="G50" i="4"/>
  <c r="H50" i="4"/>
  <c r="I50" i="4"/>
  <c r="J50" i="4"/>
  <c r="K50" i="4"/>
  <c r="L50" i="4"/>
  <c r="M50" i="4"/>
  <c r="N50" i="4"/>
  <c r="O50" i="4"/>
  <c r="E51" i="4"/>
  <c r="F51" i="4"/>
  <c r="G51" i="4"/>
  <c r="H51" i="4"/>
  <c r="I51" i="4"/>
  <c r="J51" i="4"/>
  <c r="K51" i="4"/>
  <c r="L51" i="4"/>
  <c r="M51" i="4"/>
  <c r="N51" i="4"/>
  <c r="O51" i="4"/>
  <c r="E52" i="4"/>
  <c r="F52" i="4"/>
  <c r="G52" i="4"/>
  <c r="H52" i="4"/>
  <c r="I52" i="4"/>
  <c r="J52" i="4"/>
  <c r="K52" i="4"/>
  <c r="L52" i="4"/>
  <c r="M52" i="4"/>
  <c r="N52" i="4"/>
  <c r="O52" i="4"/>
  <c r="E53" i="4"/>
  <c r="F53" i="4"/>
  <c r="G53" i="4"/>
  <c r="H53" i="4"/>
  <c r="I53" i="4"/>
  <c r="J53" i="4"/>
  <c r="K53" i="4"/>
  <c r="L53" i="4"/>
  <c r="M53" i="4"/>
  <c r="N53" i="4"/>
  <c r="O53" i="4"/>
  <c r="E54" i="4"/>
  <c r="F54" i="4"/>
  <c r="G54" i="4"/>
  <c r="H54" i="4"/>
  <c r="I54" i="4"/>
  <c r="J54" i="4"/>
  <c r="K54" i="4"/>
  <c r="L54" i="4"/>
  <c r="M54" i="4"/>
  <c r="N54" i="4"/>
  <c r="O54" i="4"/>
  <c r="E55" i="4"/>
  <c r="F55" i="4"/>
  <c r="G55" i="4"/>
  <c r="H55" i="4"/>
  <c r="I55" i="4"/>
  <c r="J55" i="4"/>
  <c r="K55" i="4"/>
  <c r="L55" i="4"/>
  <c r="M55" i="4"/>
  <c r="N55" i="4"/>
  <c r="O55" i="4"/>
  <c r="E56" i="4"/>
  <c r="F56" i="4"/>
  <c r="G56" i="4"/>
  <c r="H56" i="4"/>
  <c r="I56" i="4"/>
  <c r="J56" i="4"/>
  <c r="K56" i="4"/>
  <c r="L56" i="4"/>
  <c r="M56" i="4"/>
  <c r="N56" i="4"/>
  <c r="O56" i="4"/>
  <c r="E57" i="4"/>
  <c r="F57" i="4"/>
  <c r="G57" i="4"/>
  <c r="H57" i="4"/>
  <c r="I57" i="4"/>
  <c r="J57" i="4"/>
  <c r="K57" i="4"/>
  <c r="L57" i="4"/>
  <c r="M57" i="4"/>
  <c r="N57" i="4"/>
  <c r="O57" i="4"/>
  <c r="E58" i="4"/>
  <c r="F58" i="4"/>
  <c r="G58" i="4"/>
  <c r="H58" i="4"/>
  <c r="I58" i="4"/>
  <c r="J58" i="4"/>
  <c r="K58" i="4"/>
  <c r="L58" i="4"/>
  <c r="M58" i="4"/>
  <c r="N58" i="4"/>
  <c r="O58" i="4"/>
  <c r="E59" i="4"/>
  <c r="F59" i="4"/>
  <c r="G59" i="4"/>
  <c r="H59" i="4"/>
  <c r="I59" i="4"/>
  <c r="J59" i="4"/>
  <c r="K59" i="4"/>
  <c r="L59" i="4"/>
  <c r="M59" i="4"/>
  <c r="N59" i="4"/>
  <c r="O59" i="4"/>
  <c r="E60" i="4"/>
  <c r="F60" i="4"/>
  <c r="G60" i="4"/>
  <c r="H60" i="4"/>
  <c r="I60" i="4"/>
  <c r="J60" i="4"/>
  <c r="K60" i="4"/>
  <c r="L60" i="4"/>
  <c r="M60" i="4"/>
  <c r="N60" i="4"/>
  <c r="O60" i="4"/>
  <c r="E61" i="4"/>
  <c r="F61" i="4"/>
  <c r="G61" i="4"/>
  <c r="H61" i="4"/>
  <c r="I61" i="4"/>
  <c r="J61" i="4"/>
  <c r="K61" i="4"/>
  <c r="L61" i="4"/>
  <c r="M61" i="4"/>
  <c r="N61" i="4"/>
  <c r="O61" i="4"/>
  <c r="E62" i="4"/>
  <c r="F62" i="4"/>
  <c r="G62" i="4"/>
  <c r="H62" i="4"/>
  <c r="I62" i="4"/>
  <c r="J62" i="4"/>
  <c r="K62" i="4"/>
  <c r="L62" i="4"/>
  <c r="M62" i="4"/>
  <c r="N62" i="4"/>
  <c r="O62" i="4"/>
  <c r="O13" i="4"/>
  <c r="N13" i="4"/>
  <c r="M13" i="4"/>
  <c r="L13" i="4"/>
  <c r="K13" i="4"/>
  <c r="J13" i="4"/>
  <c r="I13" i="4"/>
  <c r="H13" i="4"/>
  <c r="G13" i="4"/>
  <c r="F13" i="4"/>
  <c r="E13" i="4"/>
  <c r="R15" i="4"/>
  <c r="R16" i="4"/>
  <c r="R14" i="4"/>
  <c r="E47" i="3"/>
  <c r="E48" i="3"/>
  <c r="E37" i="3"/>
  <c r="E38" i="3"/>
  <c r="E39" i="3"/>
  <c r="E40" i="3"/>
  <c r="E41" i="3"/>
  <c r="E42" i="3"/>
  <c r="E43" i="3"/>
  <c r="E44" i="3"/>
  <c r="E45" i="3"/>
  <c r="E46" i="3"/>
  <c r="E36" i="3"/>
  <c r="O12" i="4"/>
  <c r="B62" i="4"/>
  <c r="N12" i="4"/>
  <c r="M12" i="4"/>
  <c r="L12" i="4"/>
  <c r="K12" i="4"/>
  <c r="J12" i="4"/>
  <c r="I12" i="4"/>
  <c r="H12" i="4"/>
  <c r="G12" i="4"/>
  <c r="F12" i="4"/>
  <c r="E12" i="4"/>
  <c r="C62" i="4"/>
  <c r="B61" i="4"/>
  <c r="C61" i="4"/>
  <c r="B60" i="4"/>
  <c r="C60" i="4"/>
  <c r="B59" i="4"/>
  <c r="C59" i="4"/>
  <c r="B58" i="4"/>
  <c r="C58" i="4"/>
  <c r="B57" i="4"/>
  <c r="C57" i="4"/>
  <c r="B56" i="4"/>
  <c r="C56" i="4"/>
  <c r="B55" i="4"/>
  <c r="C55" i="4"/>
  <c r="B54" i="4"/>
  <c r="C54" i="4"/>
  <c r="B53" i="4"/>
  <c r="C53" i="4"/>
  <c r="B52" i="4"/>
  <c r="C52" i="4"/>
  <c r="B51" i="4"/>
  <c r="C51" i="4"/>
  <c r="B50" i="4"/>
  <c r="C50" i="4"/>
  <c r="B49" i="4"/>
  <c r="C49" i="4"/>
  <c r="B48" i="4"/>
  <c r="C48" i="4"/>
  <c r="B47" i="4"/>
  <c r="C47" i="4"/>
  <c r="B46" i="4"/>
  <c r="C46" i="4"/>
  <c r="B45" i="4"/>
  <c r="C45" i="4"/>
  <c r="B44" i="4"/>
  <c r="C44" i="4"/>
  <c r="B43" i="4"/>
  <c r="C43" i="4"/>
  <c r="B42" i="4"/>
  <c r="C42" i="4"/>
  <c r="B41" i="4"/>
  <c r="C41" i="4"/>
  <c r="B40" i="4"/>
  <c r="C40" i="4"/>
  <c r="B39" i="4"/>
  <c r="C39" i="4"/>
  <c r="B38" i="4"/>
  <c r="C38" i="4"/>
  <c r="B37" i="4"/>
  <c r="C37" i="4"/>
  <c r="B36" i="4"/>
  <c r="C36" i="4"/>
  <c r="B35" i="4"/>
  <c r="C35" i="4"/>
  <c r="B34" i="4"/>
  <c r="C34" i="4"/>
  <c r="B33" i="4"/>
  <c r="C33" i="4"/>
  <c r="B32" i="4"/>
  <c r="C32" i="4"/>
  <c r="B31" i="4"/>
  <c r="C31" i="4"/>
  <c r="B30" i="4"/>
  <c r="C30" i="4"/>
  <c r="B29" i="4"/>
  <c r="C29" i="4"/>
  <c r="B28" i="4"/>
  <c r="C28" i="4"/>
  <c r="B27" i="4"/>
  <c r="C27" i="4"/>
  <c r="B26" i="4"/>
  <c r="C26" i="4"/>
  <c r="B25" i="4"/>
  <c r="C25" i="4"/>
  <c r="B24" i="4"/>
  <c r="C24" i="4"/>
  <c r="B23" i="4"/>
  <c r="C23" i="4"/>
  <c r="B22" i="4"/>
  <c r="C22" i="4"/>
  <c r="B21" i="4"/>
  <c r="C21" i="4"/>
  <c r="B20" i="4"/>
  <c r="C20" i="4"/>
  <c r="B19" i="4"/>
  <c r="C19" i="4"/>
  <c r="B18" i="4"/>
  <c r="C18" i="4"/>
  <c r="B17" i="4"/>
  <c r="C17" i="4"/>
  <c r="B16" i="4"/>
  <c r="C16" i="4"/>
  <c r="B15" i="4"/>
  <c r="C15" i="4"/>
  <c r="B14" i="4"/>
  <c r="C14" i="4"/>
  <c r="B13" i="4"/>
  <c r="C13" i="4"/>
  <c r="G16" i="2"/>
</calcChain>
</file>

<file path=xl/sharedStrings.xml><?xml version="1.0" encoding="utf-8"?>
<sst xmlns="http://schemas.openxmlformats.org/spreadsheetml/2006/main" count="451" uniqueCount="361">
  <si>
    <t>Foyer Zéro — les onze bâtiments de la base du joueur</t>
  </si>
  <si>
    <t>Relevé au 25/08/2026. État réel de ce qui est connu, et de ce qui ne l'est pas.</t>
  </si>
  <si>
    <t>Réponse courte à la question posée</t>
  </si>
  <si>
    <t>NON, les données exactes n'existent pas. Sur les quatre colonnes demandées :</t>
  </si>
  <si>
    <t xml:space="preserve">  • RÔLE — connu pour 11 sur 11, dont 4 nommés seulement à l'oral.</t>
  </si>
  <si>
    <t xml:space="preserve">  • EFFET, en texte — connu pour 11 sur 11.</t>
  </si>
  <si>
    <t xml:space="preserve">  • STAT DE BASE (PV, temps de réparation) — connue pour 11 sur 11, mais TRANSPOSÉE de</t>
  </si>
  <si>
    <t xml:space="preserve">    Tiberium Alliances, jamais arbitrée pour Foyer Zéro. Précédent fort : les cinq</t>
  </si>
  <si>
    <t xml:space="preserve">    bâtiments de site de src/data/sites.js reprennent ces mêmes PV à l'identique.</t>
  </si>
  <si>
    <t xml:space="preserve">  • EFFET CHIFFRÉ (production, stockage, coûts, électricité) — MANQUANT presque partout.</t>
  </si>
  <si>
    <t xml:space="preserve">    C'est le vrai trou : voir l'onglet TROUS, quatorze lignes.</t>
  </si>
  <si>
    <t>Ce que ce classeur est, et n'est pas</t>
  </si>
  <si>
    <t>CLAUDE.md §1 : les .xlsx sont des feuilles de saisie, jamais des sources. Rien ici ne</t>
  </si>
  <si>
    <t>doit être lu pour coder. Ce classeur sert à voir l'état du calibrage et à le compléter ;</t>
  </si>
  <si>
    <t>une fois une valeur arbitrée, elle part dans src/data/, et c'est src/data/ qui fait foi.</t>
  </si>
  <si>
    <t>Où écrire</t>
  </si>
  <si>
    <t>FOND JAUNE = à remplir par Ethan. Ce sont les seules cellules à modifier.</t>
  </si>
  <si>
    <t>TEXTE BLEU = nombre saisi en dur, avec sa source en fin de ligne.</t>
  </si>
  <si>
    <t>TEXTE NOIR = formule, calculée. Ne pas écraser.</t>
  </si>
  <si>
    <t>TEXTE VERT = renvoi vers un autre onglet du classeur.</t>
  </si>
  <si>
    <t>Les quatre onglets</t>
  </si>
  <si>
    <t>BATIMENTS  — les onze : nom, rôle, effet, PV de niveau 1, temps de réparation, unicité.</t>
  </si>
  <si>
    <t>EFFETS     — l'effet chiffré de chaque bâtiment, et ce qui manque pour le chiffrer.</t>
  </si>
  <si>
    <t>COURBE     — PV par niveau, sur les deux courbes en concurrence. Le choix est en B4.</t>
  </si>
  <si>
    <t>TROUS      — les quatorze données manquantes, et ce que chacune bloque.</t>
  </si>
  <si>
    <t>Provenance, en un coup d'œil</t>
  </si>
  <si>
    <t>SPEC-FOYER-ZERO.md ........... la spécification. Fait autorité (CLAUDE.md §1, rang 1).</t>
  </si>
  <si>
    <t>src/data/*.js ................ transcription figée de la spec, seule source lue par le code.</t>
  </si>
  <si>
    <t>MODELE-REPARATION-1.md ....... planchers et réparation. Dicté le 24/08.</t>
  </si>
  <si>
    <t>BASE-DU-JOUEUR-1.md .......... relevé de FOYER-ZERO-LEXIQUE.xlsx, feuille LEXIQUE.</t>
  </si>
  <si>
    <t>COURBE-DE-NIVEAU-2.md ........ la courbe ×1,32 et ce qui la suit.</t>
  </si>
  <si>
    <t>RELEVE-TA-COURBES-2.md §6.5 .. PV et temps de réparation des bâtiments, NIVEAU 1.</t>
  </si>
  <si>
    <t>RELEVE-TA-ECONOMIE.md §1 ..... indices de butin et les deux régimes.</t>
  </si>
  <si>
    <t>Trois avertissements</t>
  </si>
  <si>
    <t>1. Les PV ci-dessous sont ceux de TA. Les reprendre est un choix par défaut, pas un</t>
  </si>
  <si>
    <t xml:space="preserve">   arbitrage. Il reste à confirmer, comme il l'a été pour les bâtiments de site.</t>
  </si>
  <si>
    <t>2. Le compte de onze est celui d'Ethan (BASE-DU-JOUEUR-1.md §2 : sept nommés sur onze).</t>
  </si>
  <si>
    <t xml:space="preserve">   Il ne tient QUE si le silo à scorie n'est pas un douzième bâtiment. Voir TROUS ligne 13.</t>
  </si>
  <si>
    <t>3. « Répare 70 % » est PÉRIMÉ partout où il apparaît encore — lexique compris. C'est</t>
  </si>
  <si>
    <t xml:space="preserve">   100 %, en une heure, depuis MODELE-REPARATION-1.md §3.</t>
  </si>
  <si>
    <t>Les onze bâtiments de la base du joueur</t>
  </si>
  <si>
    <t>Nom, rôle et effet : FOYER-ZERO-LEXIQUE.xlsx via BASE-DU-JOUEUR-1.md. PV et réparation : RELEVE-TA-COURBES-2.md §6.5, valeurs de NIVEAU 1, transposées de TA.</t>
  </si>
  <si>
    <t>id proposé</t>
  </si>
  <si>
    <t>Nom joueur</t>
  </si>
  <si>
    <t>Nom Ouvrage</t>
  </si>
  <si>
    <t>Nom TA</t>
  </si>
  <si>
    <t>Rôle</t>
  </si>
  <si>
    <t>Effet</t>
  </si>
  <si>
    <t>PV niv. 1</t>
  </si>
  <si>
    <t>Répar. base (s)</t>
  </si>
  <si>
    <t>Unicité</t>
  </si>
  <si>
    <t>Statut du nom</t>
  </si>
  <si>
    <t>chantierDeConstruction</t>
  </si>
  <si>
    <t>Chantier de construction</t>
  </si>
  <si>
    <t>Souche</t>
  </si>
  <si>
    <t>Construction Yard</t>
  </si>
  <si>
    <t>central</t>
  </si>
  <si>
    <t>Central du joueur. Commande le TEMPS de réparation des bâtiments. Seul bâtiment sans plancher de PV : sa chute rase la base.</t>
  </si>
  <si>
    <t>oui</t>
  </si>
  <si>
    <t>ABSENT du lexique — nom TA faute de mieux</t>
  </si>
  <si>
    <t>centreDeCommandement</t>
  </si>
  <si>
    <t>Centre de commandement</t>
  </si>
  <si>
    <t>—</t>
  </si>
  <si>
    <t>Command Center</t>
  </si>
  <si>
    <t>QG offensif</t>
  </si>
  <si>
    <t>Points d'armée offensifs + plafond de niveau des unités offensives.</t>
  </si>
  <si>
    <t>nommé</t>
  </si>
  <si>
    <t>qgDeDefense</t>
  </si>
  <si>
    <t>QG de défense</t>
  </si>
  <si>
    <t>Defense HQ</t>
  </si>
  <si>
    <t>QG défensif</t>
  </si>
  <si>
    <t>Points d'armée défensifs + plafond de niveau des défenses.</t>
  </si>
  <si>
    <t>complexeDeDefense</t>
  </si>
  <si>
    <t>Complexe de défense</t>
  </si>
  <si>
    <t>Étai</t>
  </si>
  <si>
    <t>Defense Facility</t>
  </si>
  <si>
    <t>réparation</t>
  </si>
  <si>
    <t>Répare TOUTES les défenses, gratuitement, en une heure. Son niveau commande la disponibilité ; sa perte bloque la réparation.</t>
  </si>
  <si>
    <t>caserne</t>
  </si>
  <si>
    <t>Caserne</t>
  </si>
  <si>
    <t>Barracks</t>
  </si>
  <si>
    <t>production · escouade</t>
  </si>
  <si>
    <t>Accès aux escouades et vitesse de leur réparation.</t>
  </si>
  <si>
    <t>ABSENT du lexique — nommé à l'oral le 24/08</t>
  </si>
  <si>
    <t>depotDeVehicules</t>
  </si>
  <si>
    <t>Dépôt de véhicules</t>
  </si>
  <si>
    <t>Factory</t>
  </si>
  <si>
    <t>production · blindé</t>
  </si>
  <si>
    <t>Accès aux blindés et vitesse de leur réparation.</t>
  </si>
  <si>
    <t>aerodrome</t>
  </si>
  <si>
    <t>Aérodrome</t>
  </si>
  <si>
    <t>Airfield</t>
  </si>
  <si>
    <t>production · aéronef</t>
  </si>
  <si>
    <t>Accès aux aéronefs et vitesse de leur réparation.</t>
  </si>
  <si>
    <t>centrale</t>
  </si>
  <si>
    <t>Centrale</t>
  </si>
  <si>
    <t>Power Plant</t>
  </si>
  <si>
    <t>production · électricité</t>
  </si>
  <si>
    <t>Produit l'électricité par COLIS, plus un flux CONTINU fonction des champs de scorie voisins.</t>
  </si>
  <si>
    <t>non</t>
  </si>
  <si>
    <t>nommé (minuscule dans le lexique)</t>
  </si>
  <si>
    <t>collecteur</t>
  </si>
  <si>
    <t>Collecteur</t>
  </si>
  <si>
    <t>Nœud</t>
  </si>
  <si>
    <t>Harvester</t>
  </si>
  <si>
    <t>production · ressources</t>
  </si>
  <si>
    <t>Produit quartz ou scorie par COLIS.</t>
  </si>
  <si>
    <t>raffinerie</t>
  </si>
  <si>
    <t>Raffinerie</t>
  </si>
  <si>
    <t>Gangue</t>
  </si>
  <si>
    <t>Tiberium Silo</t>
  </si>
  <si>
    <t>stockage · ressources</t>
  </si>
  <si>
    <t>Stocke les ressources et en produit un flux CONTINU fonction du nombre de collecteurs voisins.</t>
  </si>
  <si>
    <t>COLLISION — « Raffinerie » nomme aussi la Gangue de site</t>
  </si>
  <si>
    <t>accumulateur</t>
  </si>
  <si>
    <t>Accumulateur</t>
  </si>
  <si>
    <t>Accumulator</t>
  </si>
  <si>
    <t>stockage · électricité</t>
  </si>
  <si>
    <t>Stocke l'électricité et en produit un flux CONTINU fonction du nombre de centrales voisines.</t>
  </si>
  <si>
    <t>TOTAL</t>
  </si>
  <si>
    <t>PV cumulés d'une base niveau 1</t>
  </si>
  <si>
    <t>· Les quatre « ABSENT du lexique » sont ceux de BASE-DU-JOUEUR-1.md §2. Ethan les a nommés à l'oral le 24/08 ; ils n'ont pas de nom Foyer Zéro écrit.</t>
  </si>
  <si>
    <t>· Le Chantier de construction porte encore son nom TA. C'est aussi le seul bâtiment SANS plancher de PV (MODELE-REPARATION-1.md §2) : sa chute rase la base.</t>
  </si>
  <si>
    <t>· « Répar. base » est le temps de réparation du BÂTIMENT lui-même, en secondes, au niveau 1. 88 s = 1:28, 65 s = 1:05, 42 s = 0:42 (RELEVE-TA-COURBES-2.md §6.5).</t>
  </si>
  <si>
    <t>· Ne pas confondre avec le temps de réparation des UNITÉS, que ces bâtiments commandent et dont la formule est au §4 du même relevé : T(L,C) = base_unité × 1,15^(L−1) / D(C).</t>
  </si>
  <si>
    <t>· Les trois bâtiments de production — Caserne, dépôt, aérodrome — partagent 2 500 PV chez TA : une seule ligne les couvre là-bas, trois ici.</t>
  </si>
  <si>
    <t>· La colonne « Nom Ouvrage » n'a de valeur que pour trois d'entre eux : l'Ouvrage n'a ni Centre de commandement, ni QG de défense, ni base au sens du joueur (SPEC §7).</t>
  </si>
  <si>
    <t>L'effet chiffré — ce qui est arbitré, ce qui vient de TA, ce qui manque</t>
  </si>
  <si>
    <t>Trois colonnes de statut. ARBITRÉ = décidé pour Foyer Zéro et vivant dans src/data/. TA = relevé chez Tiberium Alliances, jamais arbitré. MANQUANT = à remplir, fond jaune.</t>
  </si>
  <si>
    <t>Bâtiment</t>
  </si>
  <si>
    <t>Grandeur</t>
  </si>
  <si>
    <t>Statut</t>
  </si>
  <si>
    <t>Valeur Foyer Zéro</t>
  </si>
  <si>
    <t>Valeur TA relevée</t>
  </si>
  <si>
    <t>Source / remarque</t>
  </si>
  <si>
    <t>— EXEMPLE —</t>
  </si>
  <si>
    <t>ligne de démonstration du format attendu</t>
  </si>
  <si>
    <t>ARBITRÉ</t>
  </si>
  <si>
    <t>1,5 unité / minute au niveau 1</t>
  </si>
  <si>
    <t>1 unité / minute</t>
  </si>
  <si>
    <t>Exemple : une valeur, son unité, le niveau auquel elle s'applique. À supprimer une fois le classeur rempli.</t>
  </si>
  <si>
    <t>Points d'armée offensifs</t>
  </si>
  <si>
    <t>20 + 5 × niveau  (45 au niv. 1, 290 au niv. 50)</t>
  </si>
  <si>
    <t>10, plat</t>
  </si>
  <si>
    <t>src/data/sites.js — POINTS_ARMEE.offense. TA donnait un plat, Foyer Zéro en fait une droite.</t>
  </si>
  <si>
    <t>Plafond de niveau des unités</t>
  </si>
  <si>
    <t>MANQUANT</t>
  </si>
  <si>
    <t>plafond = niveau du bâtiment</t>
  </si>
  <si>
    <t>COURBE-DE-NIVEAU-2.md §4 : c'est LE paramètre qui décide d'un raid (+1 niveau = ×1,74 en combat).</t>
  </si>
  <si>
    <t>Points d'armée défensifs</t>
  </si>
  <si>
    <t>40 + 5 × niveau  (45 au niv. 1, 290 au niv. 50)</t>
  </si>
  <si>
    <t>20, plat</t>
  </si>
  <si>
    <t>src/data/sites.js — POINTS_ARMEE.defense.</t>
  </si>
  <si>
    <t>Plafond de niveau des défenses</t>
  </si>
  <si>
    <t>MODELE-REPARATION-1.md §3 : monter les défenses au-delà du Complexe est permis — puissance contre disponibilité.</t>
  </si>
  <si>
    <t>Part des PV réparés</t>
  </si>
  <si>
    <t>70 % des PV perdus</t>
  </si>
  <si>
    <t>MODELE-REPARATION-1.md §3. ⚠ Les 70 % restent écrits dans le lexique, la spec §1 et §2 : périmés.</t>
  </si>
  <si>
    <t>Temps de réparation des défenses</t>
  </si>
  <si>
    <t>1 heure, plancher — davantage si les défenses dépassent son niveau</t>
  </si>
  <si>
    <t>MODELE-REPARATION-1.md §3. La FORMULE du dépassement manque : voir TROUS.</t>
  </si>
  <si>
    <t>Coût de réparation des défenses</t>
  </si>
  <si>
    <t>gratuit</t>
  </si>
  <si>
    <t>MODELE-REPARATION-1.md §3. La défense n'est financée par rien, des deux côtés.</t>
  </si>
  <si>
    <t>Emplacements de base</t>
  </si>
  <si>
    <t>4 emplacements</t>
  </si>
  <si>
    <t>RELEVE-TA-COURBES-2.md §6.5. Rien ne dit si Foyer Zéro garde une notion d'emplacement.</t>
  </si>
  <si>
    <t>Stockage propre</t>
  </si>
  <si>
    <t>50 tib. + 50 cristal + 40 énergie</t>
  </si>
  <si>
    <t>RELEVE-TA-COURBES-2.md §6.5.</t>
  </si>
  <si>
    <t>Effet sur le temps de réparation</t>
  </si>
  <si>
    <t>D(C) = 1,09^(min(C,12)−1) × 1,12^max(C−12,0)</t>
  </si>
  <si>
    <t>RELEVE-TA-COURBES-2.md §4 — mesuré. C'est le diviseur du temps ; reste à décider s'il vaut pour les bâtiments comme pour les unités.</t>
  </si>
  <si>
    <t>Caserne · dépôt · aérodrome</t>
  </si>
  <si>
    <t>Effet sur le temps de réparation des unités</t>
  </si>
  <si>
    <t>TA</t>
  </si>
  <si>
    <t>T(L,C) = base_unité × 1,15^(L−1) / D(C)</t>
  </si>
  <si>
    <t>RELEVE-TA-COURBES-2.md §4, restitue la série mesurée à 0,02 %. Série Caserne, unité au niv. 30 : 25 483 s au niv. 1 → 133 s au niv. 50.</t>
  </si>
  <si>
    <t>Base de réparation par unité</t>
  </si>
  <si>
    <t>présente dans src/data/combat.js</t>
  </si>
  <si>
    <t>441 · 882 · 972 · 1 458 · 1 070 · 1 605 s</t>
  </si>
  <si>
    <t>Déjà transcrite : UNITES[x].reparation. Six valeurs distinctes, non proportionnelles aux PV.</t>
  </si>
  <si>
    <t>2 énergie / minute par paquet</t>
  </si>
  <si>
    <t>RELEVE-TA-COURBES-2.md §6.5. L'électricité n'existe pas chez TA sous la forme voulue : BASE-DU-JOUEUR-1.md §4 en fait une 4e grandeur non pillable.</t>
  </si>
  <si>
    <t>Flux continu selon les champs de scorie</t>
  </si>
  <si>
    <t>n'existe pas chez TA</t>
  </si>
  <si>
    <t>BASE-DU-JOUEUR-1.md §1 et §3. Voisinage TYPÉ : il faut le rayon, le bonus par champ, et le plafond de voisins.</t>
  </si>
  <si>
    <t>Stockage d'électricité</t>
  </si>
  <si>
    <t>15 énergie</t>
  </si>
  <si>
    <t>Flux continu selon les centrales voisines</t>
  </si>
  <si>
    <t>BASE-DU-JOUEUR-1.md §1. Le socle existe : params.js — adjacence.facteur 0,5 × P(1), 2 voisins au plus. Il n'est pas typé.</t>
  </si>
  <si>
    <t>4 ressources / minute par paquet</t>
  </si>
  <si>
    <t>src/data/params.js — colis. Le RENDEMENT par colis, lui, manque.</t>
  </si>
  <si>
    <t>Flux continu, niveau 1</t>
  </si>
  <si>
    <t>src/data/params.js — fluxContinu.baseMilliParTickNiveau1. Entier obligatoire : l'économie par tick est en arithmétique entière.</t>
  </si>
  <si>
    <t>Indice de butin quand on le pille</t>
  </si>
  <si>
    <t>indice 2</t>
  </si>
  <si>
    <t>indice 2,75 — la cible la plus rentable</t>
  </si>
  <si>
    <t>src/data/sites.js — BATIMENTS.noeud. RELEVE-TA-ECONOMIE.md §1 donne 2,75 ; Foyer Zéro a retenu 2.</t>
  </si>
  <si>
    <t>Capacité de stockage</t>
  </si>
  <si>
    <t>20 tibérium / cristal</t>
  </si>
  <si>
    <t>src/data/params.js — stockage.capaciteMilli. Le flux continu s'arrête stockage plein.</t>
  </si>
  <si>
    <t>Flux continu selon les collecteurs voisins</t>
  </si>
  <si>
    <t>BASE-DU-JOUEUR-1.md §1. Même trou que l'Accumulateur : voisinage typé à chiffrer.</t>
  </si>
  <si>
    <t>Tous</t>
  </si>
  <si>
    <t>Coût de construction, niveau 1</t>
  </si>
  <si>
    <t>Aucun chiffre. params.js ne porte que foreuse (20) et decapeuse (35), qui sont les bâtiments du lot 1, pas ceux-ci.</t>
  </si>
  <si>
    <t>Coût de montée niveau n → n+1</t>
  </si>
  <si>
    <t>×1,794 de 10 à 11, puis ×1,32</t>
  </si>
  <si>
    <t>COURBE-DE-NIVEAU-2.md §3 et RELEVE-TA-COURBES-2.md §5. ⚠ La rupture réelle est au niveau 11, pas 12 : à trancher.</t>
  </si>
  <si>
    <t>Coût en électricité d'une amélioration</t>
  </si>
  <si>
    <t>le quart de la monnaie principale</t>
  </si>
  <si>
    <t>RELEVE-TA-COURBES-2.md §5. BASE-DU-JOUEUR-1.md §4 : l'électricité conditionne TOUTES les améliorations, sans exception.</t>
  </si>
  <si>
    <t>PV par niveau</t>
  </si>
  <si>
    <t>PV(1) × courbe — voir onglet COURBE</t>
  </si>
  <si>
    <t>PV(1) × 1,32^(n−1)</t>
  </si>
  <si>
    <t>COURBE-DE-NIVEAU-2.md §1 : PV et dégâts partagent la même courbe, c'est ce qui fait tenir le miroir.</t>
  </si>
  <si>
    <t>Plancher de PV</t>
  </si>
  <si>
    <t>1 PV — sauf le Chantier de construction, qui meurt vraiment</t>
  </si>
  <si>
    <t>MODELE-REPARATION-1.md §1 et §2. ⚠ Ce n'est PAS 1 %, et ce n'est pas une grandeur du moteur de combat : c'est une écriture d'après-raid.</t>
  </si>
  <si>
    <t>À REMPLIR : uniquement les cellules à fond jaune de la colonne D. La ligne « — EXEMPLE — » montre le format attendu et se supprime ensuite.</t>
  </si>
  <si>
    <t>PV des bâtiments du joueur, par niveau</t>
  </si>
  <si>
    <t>La question ouverte de COURBE-DE-NIVEAU-2.md §3 : les PV suivent-ils les deux régimes du butin et des coûts, ou ×1,32 partout ? Basculer en B4 pour voir l'écart.</t>
  </si>
  <si>
    <t>Régime retenu →</t>
  </si>
  <si>
    <t>deux régimes</t>
  </si>
  <si>
    <t>saisir « deux régimes » ou « 1,32 partout »</t>
  </si>
  <si>
    <t>Constantes</t>
  </si>
  <si>
    <t>pente basse (niv. 1 → 12)</t>
  </si>
  <si>
    <t>RELEVE-TA-ECONOMIE.md §1 — deux collecteurs voisins, 3 613 et 4 550</t>
  </si>
  <si>
    <t>pente haute (au-delà de 12)</t>
  </si>
  <si>
    <t>RELEVE-TA-ECONOMIE.md §1 — 1,32^11 = 21,196 sur cinq bâtiments indépendants</t>
  </si>
  <si>
    <t>niveau de rupture</t>
  </si>
  <si>
    <t>⚠ le relevé économique voit la rupture des COÛTS au niveau 11, avec un saut ×1,794 — à trancher</t>
  </si>
  <si>
    <t>Niveau</t>
  </si>
  <si>
    <t>Facteur deux régimes</t>
  </si>
  <si>
    <t>Facteur ×1,32 partout</t>
  </si>
  <si>
    <t>Facteur retenu</t>
  </si>
  <si>
    <t>PV niveau 1 →</t>
  </si>
  <si>
    <t>· Les PV de niveau 1 viennent de l'onglet BATIMENTS, donc de RELEVE-TA-COURBES-2.md §6.5 : ce sont les valeurs de Tiberium Alliances, transposées et non arbitrées.</t>
  </si>
  <si>
    <t>· L'écart entre les deux régimes n'est pas cosmétique. COURBE-DE-NIVEAU-2.md §3 : à ×1,32 partout, un site de niveau 12 a 1,6 fois plus de PV que son butin ne le justifie, et l'écart reste acquis ensuite.</t>
  </si>
  <si>
    <t>· La propriété du miroir — un niveau 30 contre son miroir se comporte comme un niveau 50 contre le sien — tient dans les DEUX cas. Elle ne tranche pas la question.</t>
  </si>
  <si>
    <t>· ⚠ Ces nombres deviennent énormes : au niveau 50, deux régimes donnent ×480 942. C'est la cause des deux débordements arithmétiques de COURBE-DE-NIVEAU-2.md §5 et §7.</t>
  </si>
  <si>
    <t>Ce qui manque, et ce que chaque trou bloque</t>
  </si>
  <si>
    <t>Aucun ne bloque le code qui tourne aujourd'hui. Tous bloquent quelque chose plus loin.</t>
  </si>
  <si>
    <t>#</t>
  </si>
  <si>
    <t>Donnée manquante</t>
  </si>
  <si>
    <t>Ce qu'elle bloque</t>
  </si>
  <si>
    <t>Ce qui existe déjà</t>
  </si>
  <si>
    <t>Source de la question</t>
  </si>
  <si>
    <t>Coût de construction de chaque bâtiment, niveau 1</t>
  </si>
  <si>
    <t>toute la progression : sans coût, aucune décision de base n'a d'enjeu</t>
  </si>
  <si>
    <t>la COURBE de montée (×1,32) est acquise ; l'ancrage ne l'est pas</t>
  </si>
  <si>
    <t>MODELE-REPARATION-1.md §6.7</t>
  </si>
  <si>
    <t>Coût de montée, ancrage par bâtiment</t>
  </si>
  <si>
    <t>la campagne, la progression</t>
  </si>
  <si>
    <t>coût(n→n+1) = base × 1,32^(n−11) pour n ≥ 11 — RELEVE-TA-COURBES-2.md §5</t>
  </si>
  <si>
    <t>Coût de réparation des bâtiments et des unités</t>
  </si>
  <si>
    <t>la campagne — c'est le vrai facteur limitant</t>
  </si>
  <si>
    <t>le TEMPS est mesuré : T(L,C) au §4 du relevé. Seul le coût manque</t>
  </si>
  <si>
    <t>MODELE-REPARATION-1.md §3 et §6.7</t>
  </si>
  <si>
    <t>Électricité : production par centrale</t>
  </si>
  <si>
    <t>la base du joueur, et par ricochet toutes les améliorations</t>
  </si>
  <si>
    <t>l'intention est arbitrée : 4e grandeur, non pillable, conditionne TOUT</t>
  </si>
  <si>
    <t>BASE-DU-JOUEUR-1.md §4</t>
  </si>
  <si>
    <t>Électricité : coût par amélioration</t>
  </si>
  <si>
    <t>la progression entière</t>
  </si>
  <si>
    <t>chez TA, le quart de la monnaie principale — RELEVE-TA-COURBES-2.md §5</t>
  </si>
  <si>
    <t>Électricité : plafonds de stockage</t>
  </si>
  <si>
    <t>l'équilibre production / dépense</t>
  </si>
  <si>
    <t>TA : 15 à l'Accumulateur, 40 au Chantier</t>
  </si>
  <si>
    <t>Voisinage TYPÉ : rayon, bonus par voisin, plafond</t>
  </si>
  <si>
    <t>l'intérêt même de la disposition de la base</t>
  </si>
  <si>
    <t>le socle non typé existe — params.js, adjacence 0,5 × P(1), 2 voisins</t>
  </si>
  <si>
    <t>BASE-DU-JOUEUR-1.md §3</t>
  </si>
  <si>
    <t>Réserve de temps de réparation : 5e grandeur ou compteur interne ?</t>
  </si>
  <si>
    <t>la campagne</t>
  </si>
  <si>
    <t>le principe est arbitré : elle s'accumule, base et unités y puisent ensemble</t>
  </si>
  <si>
    <t>MODELE-REPARATION-1.md §4 et §6.4</t>
  </si>
  <si>
    <t>Réserve de temps : taux d'accumulation, plafond</t>
  </si>
  <si>
    <t>rien</t>
  </si>
  <si>
    <t>MODELE-REPARATION-1.md §6.4</t>
  </si>
  <si>
    <t>Formule du dépassement de l'heure quand les défenses passent le Complexe</t>
  </si>
  <si>
    <t>l'arbitrage puissance / disponibilité du QG contre le Complexe</t>
  </si>
  <si>
    <t>le principe : jamais moins d'une heure, davantage si les défenses dépassent</t>
  </si>
  <si>
    <t>MODELE-REPARATION-1.md §3 et §6.6</t>
  </si>
  <si>
    <t>Plafond de niveau : le Centre de commandement et le QG le fixent — comment ?</t>
  </si>
  <si>
    <t>la calibration du combat, où +1 niveau vaut ×1,74</t>
  </si>
  <si>
    <t>chez TA : plafond = niveau du bâtiment</t>
  </si>
  <si>
    <t>SPEC-FOYER-ZERO.md §7</t>
  </si>
  <si>
    <t>Nom Foyer Zéro du central du joueur, et du bâtiment des blindés</t>
  </si>
  <si>
    <t>l'affichage — « Chantier de construction » est un nom TA</t>
  </si>
  <si>
    <t>côté Ouvrage il s'appelle Souche ; le bâtiment des blindés est dit « dépôt de véhicules »</t>
  </si>
  <si>
    <t>MODELE-REPARATION-1.md §6.3, BASE-DU-JOUEUR-1.md §2</t>
  </si>
  <si>
    <t>« Raffinerie » nomme deux objets — et le Terril n'a pas de nom joueur</t>
  </si>
  <si>
    <t>la base du joueur, et le compte de ONZE bâtiments lui-même</t>
  </si>
  <si>
    <t>collision entre le nom joueur de la Gangue et le stockage de base ; colonne vide pour le Terril</t>
  </si>
  <si>
    <t>BASE-DU-JOUEUR-1.md §5.1 et §5.2</t>
  </si>
  <si>
    <t>Un ou deux régimes pour les PV, et rupture au niveau 11 ou 12 ?</t>
  </si>
  <si>
    <t>la calibration de l'économie et le rapport butin / PV détruit</t>
  </si>
  <si>
    <t>recommandation écrite : les deux régimes, comme le butin et les coûts</t>
  </si>
  <si>
    <t>COURBE-DE-NIVEAU-2.md §3, RELEVE-TA-COURBES-2.md §5</t>
  </si>
  <si>
    <t>14 trous. Les six premiers sont des barèmes : ils se remplissent a posteriori et se modifient sans rien casser. Les cinq derniers sont des questions de conception : ils décident de ce qu'on code.</t>
  </si>
  <si>
    <t>lisez moi, de Ethan à Claude.</t>
  </si>
  <si>
    <t>tu confonds répare 70 % en un coup et répare 100 % en une heure je t'explique.</t>
  </si>
  <si>
    <t>après un raid le complexe de défense répare immédiatement 70 % des PV perdus en fonction de : le niveau de l'unité de défense par rapport au complexe de défense (si niv unité&gt; niv défense alors repa &lt; 70%)</t>
  </si>
  <si>
    <t>et du du pourcentage des PV du complexe s'il est à 50 % il ne répare que 35 %.</t>
  </si>
  <si>
    <t>le 1 heure c'est de 0 % à 100 % une unité reprend toutes ses vies point de vie en une heure.</t>
  </si>
  <si>
    <t>cela crée donc une pression sur l'attaquant si il espace trop de ces attaques une unité qu'il a tué revient à 70 % puis reviens à 100 % au bout d'environ un quart d'heure.</t>
  </si>
  <si>
    <t>il y a deux forfaits de réparation l'un n'annule pas l'autre.</t>
  </si>
  <si>
    <t>euh, on s'en fout ?</t>
  </si>
  <si>
    <t>j'ai rajouté des commentaires. j'ai mis des fonds jaunes pour que tu les voies.</t>
  </si>
  <si>
    <t>nom à inscrire dans lexique</t>
  </si>
  <si>
    <t xml:space="preserve">propose mieux comme nom joueur, sinon inscrire dans le lexique </t>
  </si>
  <si>
    <t>niv unité max = niv centre commandement  (erreur de calcul au dessus, c'est 25 niv 1 )</t>
  </si>
  <si>
    <t>idem TA</t>
  </si>
  <si>
    <t xml:space="preserve">70% instantané, puis de 0% à 100% en 1h cf lisez moi Claude </t>
  </si>
  <si>
    <t xml:space="preserve"> 2 par niveau jusqu'au niveau 10, puis 1 par niveau jusqu'à 40 max</t>
  </si>
  <si>
    <t>valeur TA</t>
  </si>
  <si>
    <t>valeur ta</t>
  </si>
  <si>
    <t>formule reprise telle quelle ? Ethan : oui</t>
  </si>
  <si>
    <t>base niv 1 : 15.  courbe TA atroce et différente des autres, je propose x2 jusqu'au niv 10, puis on courbe pour atteindre x1,333 au niv 50</t>
  </si>
  <si>
    <t xml:space="preserve">centrale </t>
  </si>
  <si>
    <t>flux continu selon accu à proximité en plus du flux accu</t>
  </si>
  <si>
    <t xml:space="preserve">abandon du pack de ressources </t>
  </si>
  <si>
    <t>base niv 1 : 120/h puis x1,25 par niveau de la centrale</t>
  </si>
  <si>
    <t>base niv 1 : 60/h puis x1,25 par niveau de la centrale, par champs de scories  à proximité immédiate (8 cases autours)</t>
  </si>
  <si>
    <t xml:space="preserve">base niv 1 : 72/h puis x1,25 par niveau de la centrale, par accumulateur à proximité immédiate </t>
  </si>
  <si>
    <t xml:space="preserve">base niv 1 : 240/h puis x1,25 par niveau du collecteur </t>
  </si>
  <si>
    <t>base niv 1 : 20 courbe TA atroce et différente des autres, je propose x2 jusqu'au niv 10, puis on courbe pour atteindre x1,333 au niv 50</t>
  </si>
  <si>
    <t>cout niv 1 gratuit. Cout niv 2 (qg def, qg off, chr de construction) 8 quartz ; (caserne, aérodrome, usine, complexe de def) 5 quartz ; centrale collecteur 3 quartz ; raffinerie accumulateur 2 quartz</t>
  </si>
  <si>
    <t xml:space="preserve">niv 3 et plus ; 10% pour la centrale ; 50% pour le collecteur ; 25% pour les autres </t>
  </si>
  <si>
    <t>niv 2</t>
  </si>
  <si>
    <t>niv 3</t>
  </si>
  <si>
    <t>niv 4</t>
  </si>
  <si>
    <t>niv 5</t>
  </si>
  <si>
    <t>niv 6</t>
  </si>
  <si>
    <t>niv 7</t>
  </si>
  <si>
    <t>niv 8</t>
  </si>
  <si>
    <t>niv 9</t>
  </si>
  <si>
    <t>niv 10</t>
  </si>
  <si>
    <t>niv 11</t>
  </si>
  <si>
    <t>niv 12</t>
  </si>
  <si>
    <t>niv 13</t>
  </si>
  <si>
    <t>niv 14</t>
  </si>
  <si>
    <t>niv 15</t>
  </si>
  <si>
    <t>niv 16</t>
  </si>
  <si>
    <t>niv 17</t>
  </si>
  <si>
    <t>niv 18</t>
  </si>
  <si>
    <t>ni l'un ni l'autre, j'ai trouvé la vrai courbe, hyper simple</t>
  </si>
  <si>
    <t>à noter que les défenses se réparent toute seule au bout d'une heure, la base avec les bâtiments de L'ia se répare aussi en une heure quoi qu'il arrive mais pas celle du joueur ni des camps ni avant-poste ia</t>
  </si>
  <si>
    <t xml:space="preserve">Production continue </t>
  </si>
  <si>
    <t xml:space="preserve">base niv 1 : 48/h puis x1,25 par niveau de l'accu, par centrale à proximité immédiate </t>
  </si>
  <si>
    <t>base niv 1 : 72/h puis x1,25 par niveau du collecteur, par raffinerie  à proximité immédiate (8 cases autours)</t>
  </si>
  <si>
    <t xml:space="preserve">base niv 1 : 72/h puis x1,25 par niveau de la raffinerie, par collecteur à proximité immédiate </t>
  </si>
  <si>
    <t xml:space="preserve">à partir du niv 2 : x1,25, x2, x4, x5,5, x3,2727.., x3,0555.., x 2,9090..., x2,75,  x2,5454..., x2,142, x1,32 pour tout les suivants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</si>
</sst>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3"/>
      <name val="Arial"/>
      <charset val="1"/>
    </font>
    <font>
      <i/>
      <sz val="10"/>
      <color rgb="FF555555"/>
      <name val="Arial"/>
      <charset val="1"/>
    </font>
    <font>
      <sz val="10"/>
      <name val="Arial"/>
      <charset val="1"/>
    </font>
    <font>
      <b/>
      <sz val="10"/>
      <name val="Arial"/>
      <charset val="1"/>
    </font>
    <font>
      <b/>
      <sz val="10"/>
      <color rgb="FFFFFFFF"/>
      <name val="Arial"/>
      <charset val="1"/>
    </font>
    <font>
      <sz val="10"/>
      <color rgb="FF0000FF"/>
      <name val="Arial"/>
      <charset val="1"/>
    </font>
    <font>
      <i/>
      <sz val="10"/>
      <color rgb="FF808080"/>
      <name val="Arial"/>
      <charset val="1"/>
    </font>
    <font>
      <b/>
      <sz val="10"/>
      <color rgb="FF008000"/>
      <name val="Arial"/>
      <charset val="1"/>
    </font>
    <font>
      <b/>
      <sz val="10"/>
      <color rgb="FFC00000"/>
      <name val="Arial"/>
      <charset val="1"/>
    </font>
    <font>
      <b/>
      <sz val="10"/>
      <color rgb="FF7F6000"/>
      <name val="Arial"/>
      <charset val="1"/>
    </font>
    <font>
      <sz val="10"/>
      <color rgb="FF008000"/>
      <name val="Arial"/>
      <charset val="1"/>
    </font>
    <font>
      <sz val="11"/>
      <color rgb="FFFF0000"/>
      <name val="Calibri"/>
      <family val="2"/>
      <charset val="1"/>
    </font>
    <font>
      <sz val="6"/>
      <name val="Yu Gothic"/>
      <family val="2"/>
      <charset val="128"/>
    </font>
  </fonts>
  <fills count="7">
    <fill>
      <patternFill patternType="none"/>
    </fill>
    <fill>
      <patternFill patternType="gray125"/>
    </fill>
    <fill>
      <patternFill patternType="solid">
        <fgColor rgb="FFF2F2F2"/>
        <bgColor rgb="FFFFFFFF"/>
      </patternFill>
    </fill>
    <fill>
      <patternFill patternType="solid">
        <fgColor rgb="FF3F3F3F"/>
        <bgColor rgb="FF555555"/>
      </patternFill>
    </fill>
    <fill>
      <patternFill patternType="solid">
        <fgColor rgb="FFFFFF00"/>
        <bgColor rgb="FFFFFF00"/>
      </patternFill>
    </fill>
    <fill>
      <patternFill patternType="solid">
        <fgColor rgb="FFFFFF00"/>
        <bgColor indexed="64"/>
      </patternFill>
    </fill>
    <fill>
      <patternFill patternType="solid">
        <fgColor theme="8"/>
        <bgColor indexed="64"/>
      </patternFill>
    </fill>
  </fills>
  <borders count="2">
    <border>
      <left/>
      <right/>
      <top/>
      <bottom/>
      <diagonal/>
    </border>
    <border>
      <left/>
      <right/>
      <top/>
      <bottom style="thin">
        <color rgb="FFBFBFBF"/>
      </bottom>
      <diagonal/>
    </border>
  </borders>
  <cellStyleXfs count="1">
    <xf numFmtId="0" fontId="0" fillId="0" borderId="0"/>
  </cellStyleXfs>
  <cellXfs count="37">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0" xfId="0" applyFont="1" applyFill="1" applyAlignment="1">
      <alignment horizontal="left" vertical="top" wrapText="1"/>
    </xf>
    <xf numFmtId="0" fontId="1" fillId="0" borderId="0" xfId="0" applyFont="1"/>
    <xf numFmtId="0" fontId="2" fillId="0" borderId="0" xfId="0" applyFont="1"/>
    <xf numFmtId="0" fontId="5" fillId="3" borderId="0" xfId="0" applyFont="1" applyFill="1" applyAlignment="1">
      <alignment horizontal="center" vertical="center"/>
    </xf>
    <xf numFmtId="0" fontId="3" fillId="0" borderId="1" xfId="0" applyFont="1" applyBorder="1" applyAlignment="1">
      <alignment vertical="top" wrapText="1"/>
    </xf>
    <xf numFmtId="3" fontId="6" fillId="0" borderId="1" xfId="0" applyNumberFormat="1" applyFont="1" applyBorder="1" applyAlignment="1">
      <alignment vertical="top" wrapText="1"/>
    </xf>
    <xf numFmtId="0" fontId="4" fillId="0" borderId="0" xfId="0" applyFont="1"/>
    <xf numFmtId="3" fontId="4" fillId="0" borderId="0" xfId="0" applyNumberFormat="1" applyFont="1"/>
    <xf numFmtId="0" fontId="7" fillId="0" borderId="1" xfId="0" applyFont="1" applyBorder="1" applyAlignment="1">
      <alignment vertical="top"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vertical="top" wrapText="1"/>
    </xf>
    <xf numFmtId="0" fontId="9" fillId="0" borderId="1" xfId="0" applyFont="1" applyBorder="1" applyAlignment="1">
      <alignment horizontal="center" vertical="center"/>
    </xf>
    <xf numFmtId="0" fontId="3" fillId="4" borderId="1" xfId="0" applyFont="1" applyFill="1" applyBorder="1" applyAlignment="1">
      <alignment vertical="top" wrapText="1"/>
    </xf>
    <xf numFmtId="0" fontId="10" fillId="0" borderId="1" xfId="0" applyFont="1" applyBorder="1" applyAlignment="1">
      <alignment horizontal="center" vertical="center"/>
    </xf>
    <xf numFmtId="0" fontId="4" fillId="0" borderId="0" xfId="0" applyFont="1" applyAlignment="1">
      <alignment horizontal="left" vertical="top" wrapText="1"/>
    </xf>
    <xf numFmtId="0" fontId="6" fillId="4" borderId="0" xfId="0" applyFont="1" applyFill="1"/>
    <xf numFmtId="0" fontId="3" fillId="0" borderId="0" xfId="0" applyFont="1"/>
    <xf numFmtId="0" fontId="6" fillId="0" borderId="0" xfId="0" applyFont="1"/>
    <xf numFmtId="0" fontId="5" fillId="3" borderId="0" xfId="0" applyFont="1" applyFill="1" applyAlignment="1">
      <alignment horizontal="center" textRotation="90" wrapText="1"/>
    </xf>
    <xf numFmtId="3" fontId="11" fillId="0" borderId="0" xfId="0" applyNumberFormat="1" applyFont="1" applyAlignment="1">
      <alignment horizontal="center" vertical="center"/>
    </xf>
    <xf numFmtId="0" fontId="3" fillId="0" borderId="0" xfId="0" applyFont="1" applyAlignment="1">
      <alignment horizontal="center" vertical="center"/>
    </xf>
    <xf numFmtId="4" fontId="3" fillId="0" borderId="0" xfId="0" applyNumberFormat="1" applyFont="1"/>
    <xf numFmtId="3" fontId="3" fillId="0" borderId="0" xfId="0" applyNumberFormat="1" applyFont="1"/>
    <xf numFmtId="0" fontId="4" fillId="0" borderId="0" xfId="0" applyFont="1" applyAlignment="1">
      <alignment horizontal="center" vertical="center"/>
    </xf>
    <xf numFmtId="0" fontId="12" fillId="5" borderId="0" xfId="0" applyFont="1" applyFill="1"/>
    <xf numFmtId="0" fontId="3" fillId="5" borderId="1" xfId="0" applyFont="1" applyFill="1" applyBorder="1" applyAlignment="1">
      <alignment vertical="top" wrapText="1"/>
    </xf>
    <xf numFmtId="0" fontId="0" fillId="5" borderId="0" xfId="0" applyFill="1"/>
    <xf numFmtId="0" fontId="9" fillId="5" borderId="1" xfId="0" applyFont="1" applyFill="1" applyBorder="1" applyAlignment="1">
      <alignment horizontal="center" vertical="center"/>
    </xf>
    <xf numFmtId="0" fontId="6" fillId="5" borderId="1" xfId="0" applyFont="1" applyFill="1" applyBorder="1" applyAlignment="1">
      <alignment vertical="top" wrapText="1"/>
    </xf>
    <xf numFmtId="4" fontId="3" fillId="5" borderId="0" xfId="0" applyNumberFormat="1" applyFont="1" applyFill="1"/>
    <xf numFmtId="0" fontId="0" fillId="6" borderId="0" xfId="0" applyFill="1"/>
    <xf numFmtId="0" fontId="3"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 Id="rId9"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7"/>
  <sheetViews>
    <sheetView showGridLines="0" topLeftCell="D37" zoomScaleNormal="100" workbookViewId="0">
      <selection activeCell="A55" sqref="A55"/>
    </sheetView>
  </sheetViews>
  <sheetFormatPr defaultColWidth="8.7421875" defaultRowHeight="15" x14ac:dyDescent="0.2"/>
  <cols>
    <col min="1" max="1" width="99.94921875" customWidth="1"/>
  </cols>
  <sheetData>
    <row r="1" spans="1:1" ht="15.75" x14ac:dyDescent="0.2">
      <c r="A1" s="1" t="s">
        <v>0</v>
      </c>
    </row>
    <row r="2" spans="1:1" x14ac:dyDescent="0.2">
      <c r="A2" s="2" t="s">
        <v>1</v>
      </c>
    </row>
    <row r="3" spans="1:1" x14ac:dyDescent="0.2">
      <c r="A3" s="3"/>
    </row>
    <row r="4" spans="1:1" x14ac:dyDescent="0.2">
      <c r="A4" s="4" t="s">
        <v>2</v>
      </c>
    </row>
    <row r="5" spans="1:1" x14ac:dyDescent="0.2">
      <c r="A5" s="3" t="s">
        <v>3</v>
      </c>
    </row>
    <row r="6" spans="1:1" x14ac:dyDescent="0.2">
      <c r="A6" s="3" t="s">
        <v>4</v>
      </c>
    </row>
    <row r="7" spans="1:1" x14ac:dyDescent="0.2">
      <c r="A7" s="3" t="s">
        <v>5</v>
      </c>
    </row>
    <row r="8" spans="1:1" x14ac:dyDescent="0.2">
      <c r="A8" s="3" t="s">
        <v>6</v>
      </c>
    </row>
    <row r="9" spans="1:1" x14ac:dyDescent="0.2">
      <c r="A9" s="3" t="s">
        <v>7</v>
      </c>
    </row>
    <row r="10" spans="1:1" x14ac:dyDescent="0.2">
      <c r="A10" s="3" t="s">
        <v>8</v>
      </c>
    </row>
    <row r="11" spans="1:1" x14ac:dyDescent="0.2">
      <c r="A11" s="3" t="s">
        <v>9</v>
      </c>
    </row>
    <row r="12" spans="1:1" x14ac:dyDescent="0.2">
      <c r="A12" s="3" t="s">
        <v>10</v>
      </c>
    </row>
    <row r="13" spans="1:1" x14ac:dyDescent="0.2">
      <c r="A13" s="3"/>
    </row>
    <row r="14" spans="1:1" x14ac:dyDescent="0.2">
      <c r="A14" s="4" t="s">
        <v>11</v>
      </c>
    </row>
    <row r="15" spans="1:1" x14ac:dyDescent="0.2">
      <c r="A15" s="3" t="s">
        <v>12</v>
      </c>
    </row>
    <row r="16" spans="1:1" x14ac:dyDescent="0.2">
      <c r="A16" s="3" t="s">
        <v>13</v>
      </c>
    </row>
    <row r="17" spans="1:1" x14ac:dyDescent="0.2">
      <c r="A17" s="3" t="s">
        <v>14</v>
      </c>
    </row>
    <row r="18" spans="1:1" x14ac:dyDescent="0.2">
      <c r="A18" s="3"/>
    </row>
    <row r="19" spans="1:1" x14ac:dyDescent="0.2">
      <c r="A19" s="4" t="s">
        <v>15</v>
      </c>
    </row>
    <row r="20" spans="1:1" x14ac:dyDescent="0.2">
      <c r="A20" s="3" t="s">
        <v>16</v>
      </c>
    </row>
    <row r="21" spans="1:1" x14ac:dyDescent="0.2">
      <c r="A21" s="3" t="s">
        <v>17</v>
      </c>
    </row>
    <row r="22" spans="1:1" x14ac:dyDescent="0.2">
      <c r="A22" s="3" t="s">
        <v>18</v>
      </c>
    </row>
    <row r="23" spans="1:1" x14ac:dyDescent="0.2">
      <c r="A23" s="3" t="s">
        <v>19</v>
      </c>
    </row>
    <row r="24" spans="1:1" x14ac:dyDescent="0.2">
      <c r="A24" s="3"/>
    </row>
    <row r="25" spans="1:1" x14ac:dyDescent="0.2">
      <c r="A25" s="4" t="s">
        <v>20</v>
      </c>
    </row>
    <row r="26" spans="1:1" x14ac:dyDescent="0.2">
      <c r="A26" s="3" t="s">
        <v>21</v>
      </c>
    </row>
    <row r="27" spans="1:1" x14ac:dyDescent="0.2">
      <c r="A27" s="3" t="s">
        <v>22</v>
      </c>
    </row>
    <row r="28" spans="1:1" x14ac:dyDescent="0.2">
      <c r="A28" s="3" t="s">
        <v>23</v>
      </c>
    </row>
    <row r="29" spans="1:1" x14ac:dyDescent="0.2">
      <c r="A29" s="3" t="s">
        <v>24</v>
      </c>
    </row>
    <row r="30" spans="1:1" x14ac:dyDescent="0.2">
      <c r="A30" s="3"/>
    </row>
    <row r="31" spans="1:1" x14ac:dyDescent="0.2">
      <c r="A31" s="4" t="s">
        <v>25</v>
      </c>
    </row>
    <row r="32" spans="1:1" x14ac:dyDescent="0.2">
      <c r="A32" s="3" t="s">
        <v>26</v>
      </c>
    </row>
    <row r="33" spans="1:1" x14ac:dyDescent="0.2">
      <c r="A33" s="3" t="s">
        <v>27</v>
      </c>
    </row>
    <row r="34" spans="1:1" x14ac:dyDescent="0.2">
      <c r="A34" s="3" t="s">
        <v>28</v>
      </c>
    </row>
    <row r="35" spans="1:1" x14ac:dyDescent="0.2">
      <c r="A35" s="3" t="s">
        <v>29</v>
      </c>
    </row>
    <row r="36" spans="1:1" x14ac:dyDescent="0.2">
      <c r="A36" s="3" t="s">
        <v>30</v>
      </c>
    </row>
    <row r="37" spans="1:1" x14ac:dyDescent="0.2">
      <c r="A37" s="3" t="s">
        <v>31</v>
      </c>
    </row>
    <row r="38" spans="1:1" x14ac:dyDescent="0.2">
      <c r="A38" s="3" t="s">
        <v>32</v>
      </c>
    </row>
    <row r="39" spans="1:1" x14ac:dyDescent="0.2">
      <c r="A39" s="3"/>
    </row>
    <row r="40" spans="1:1" x14ac:dyDescent="0.2">
      <c r="A40" s="4" t="s">
        <v>33</v>
      </c>
    </row>
    <row r="41" spans="1:1" x14ac:dyDescent="0.2">
      <c r="A41" s="3" t="s">
        <v>34</v>
      </c>
    </row>
    <row r="42" spans="1:1" x14ac:dyDescent="0.2">
      <c r="A42" s="3" t="s">
        <v>35</v>
      </c>
    </row>
    <row r="43" spans="1:1" x14ac:dyDescent="0.2">
      <c r="A43" s="3" t="s">
        <v>36</v>
      </c>
    </row>
    <row r="44" spans="1:1" x14ac:dyDescent="0.2">
      <c r="A44" s="3" t="s">
        <v>37</v>
      </c>
    </row>
    <row r="45" spans="1:1" x14ac:dyDescent="0.2">
      <c r="A45" s="3" t="s">
        <v>38</v>
      </c>
    </row>
    <row r="46" spans="1:1" x14ac:dyDescent="0.2">
      <c r="A46" s="3" t="s">
        <v>39</v>
      </c>
    </row>
    <row r="48" spans="1:1" x14ac:dyDescent="0.2">
      <c r="A48" s="29" t="s">
        <v>302</v>
      </c>
    </row>
    <row r="49" spans="1:1" x14ac:dyDescent="0.2">
      <c r="A49" s="31" t="s">
        <v>303</v>
      </c>
    </row>
    <row r="50" spans="1:1" x14ac:dyDescent="0.2">
      <c r="A50" s="31" t="s">
        <v>304</v>
      </c>
    </row>
    <row r="51" spans="1:1" x14ac:dyDescent="0.2">
      <c r="A51" s="31" t="s">
        <v>305</v>
      </c>
    </row>
    <row r="52" spans="1:1" x14ac:dyDescent="0.2">
      <c r="A52" s="31" t="s">
        <v>306</v>
      </c>
    </row>
    <row r="53" spans="1:1" x14ac:dyDescent="0.2">
      <c r="A53" s="31" t="s">
        <v>307</v>
      </c>
    </row>
    <row r="54" spans="1:1" x14ac:dyDescent="0.2">
      <c r="A54" s="31" t="s">
        <v>308</v>
      </c>
    </row>
    <row r="55" spans="1:1" x14ac:dyDescent="0.2">
      <c r="A55" s="35" t="s">
        <v>349</v>
      </c>
    </row>
    <row r="56" spans="1:1" x14ac:dyDescent="0.2">
      <c r="A56" s="31" t="s">
        <v>310</v>
      </c>
    </row>
    <row r="57" spans="1:1" x14ac:dyDescent="0.2">
      <c r="A57" s="31" t="s">
        <v>323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
  <sheetViews>
    <sheetView showGridLines="0" topLeftCell="J1" zoomScaleNormal="100" workbookViewId="0">
      <pane ySplit="4" topLeftCell="J5" activePane="bottomLeft" state="frozen"/>
      <selection activeCell="J1" sqref="J1"/>
      <selection pane="bottomLeft" activeCell="J17" sqref="J17"/>
    </sheetView>
  </sheetViews>
  <sheetFormatPr defaultColWidth="8.7421875" defaultRowHeight="15" x14ac:dyDescent="0.2"/>
  <cols>
    <col min="1" max="1" width="23.9453125" customWidth="1"/>
    <col min="2" max="2" width="25.9609375" customWidth="1"/>
    <col min="3" max="3" width="13.98828125" customWidth="1"/>
    <col min="4" max="4" width="20.04296875" customWidth="1"/>
    <col min="5" max="5" width="22.05859375" customWidth="1"/>
    <col min="6" max="6" width="62.015625" customWidth="1"/>
    <col min="7" max="7" width="11.02734375" customWidth="1"/>
    <col min="8" max="8" width="14.9296875" customWidth="1"/>
    <col min="9" max="9" width="11.02734375" customWidth="1"/>
    <col min="10" max="10" width="37.93359375" customWidth="1"/>
  </cols>
  <sheetData>
    <row r="1" spans="1:11" ht="17.25" x14ac:dyDescent="0.2">
      <c r="A1" s="5" t="s">
        <v>40</v>
      </c>
    </row>
    <row r="2" spans="1:11" x14ac:dyDescent="0.2">
      <c r="A2" s="6" t="s">
        <v>41</v>
      </c>
    </row>
    <row r="4" spans="1:11" x14ac:dyDescent="0.2">
      <c r="A4" s="7" t="s">
        <v>42</v>
      </c>
      <c r="B4" s="7" t="s">
        <v>43</v>
      </c>
      <c r="C4" s="7" t="s">
        <v>44</v>
      </c>
      <c r="D4" s="7" t="s">
        <v>45</v>
      </c>
      <c r="E4" s="7" t="s">
        <v>46</v>
      </c>
      <c r="F4" s="7" t="s">
        <v>47</v>
      </c>
      <c r="G4" s="7" t="s">
        <v>48</v>
      </c>
      <c r="H4" s="7" t="s">
        <v>49</v>
      </c>
      <c r="I4" s="7" t="s">
        <v>50</v>
      </c>
      <c r="J4" s="7" t="s">
        <v>51</v>
      </c>
    </row>
    <row r="5" spans="1:11" ht="24.75" x14ac:dyDescent="0.2">
      <c r="A5" s="8" t="s">
        <v>52</v>
      </c>
      <c r="B5" s="8" t="s">
        <v>53</v>
      </c>
      <c r="C5" s="8" t="s">
        <v>54</v>
      </c>
      <c r="D5" s="8" t="s">
        <v>55</v>
      </c>
      <c r="E5" s="8" t="s">
        <v>56</v>
      </c>
      <c r="F5" s="8" t="s">
        <v>57</v>
      </c>
      <c r="G5" s="9">
        <v>5500</v>
      </c>
      <c r="H5" s="9">
        <v>88</v>
      </c>
      <c r="I5" s="8" t="s">
        <v>58</v>
      </c>
      <c r="J5" s="8" t="s">
        <v>59</v>
      </c>
      <c r="K5" s="31" t="s">
        <v>312</v>
      </c>
    </row>
    <row r="6" spans="1:11" x14ac:dyDescent="0.2">
      <c r="A6" s="8" t="s">
        <v>60</v>
      </c>
      <c r="B6" s="8" t="s">
        <v>61</v>
      </c>
      <c r="C6" s="8" t="s">
        <v>62</v>
      </c>
      <c r="D6" s="8" t="s">
        <v>63</v>
      </c>
      <c r="E6" s="8" t="s">
        <v>64</v>
      </c>
      <c r="F6" s="8" t="s">
        <v>65</v>
      </c>
      <c r="G6" s="9">
        <v>3000</v>
      </c>
      <c r="H6" s="9">
        <v>88</v>
      </c>
      <c r="I6" s="8" t="s">
        <v>58</v>
      </c>
      <c r="J6" s="8" t="s">
        <v>66</v>
      </c>
    </row>
    <row r="7" spans="1:11" x14ac:dyDescent="0.2">
      <c r="A7" s="8" t="s">
        <v>67</v>
      </c>
      <c r="B7" s="8" t="s">
        <v>68</v>
      </c>
      <c r="C7" s="8" t="s">
        <v>62</v>
      </c>
      <c r="D7" s="8" t="s">
        <v>69</v>
      </c>
      <c r="E7" s="8" t="s">
        <v>70</v>
      </c>
      <c r="F7" s="8" t="s">
        <v>71</v>
      </c>
      <c r="G7" s="9">
        <v>3000</v>
      </c>
      <c r="H7" s="9">
        <v>88</v>
      </c>
      <c r="I7" s="8" t="s">
        <v>58</v>
      </c>
      <c r="J7" s="8" t="s">
        <v>66</v>
      </c>
    </row>
    <row r="8" spans="1:11" ht="24.75" x14ac:dyDescent="0.2">
      <c r="A8" s="8" t="s">
        <v>72</v>
      </c>
      <c r="B8" s="8" t="s">
        <v>73</v>
      </c>
      <c r="C8" s="8" t="s">
        <v>74</v>
      </c>
      <c r="D8" s="8" t="s">
        <v>75</v>
      </c>
      <c r="E8" s="8" t="s">
        <v>76</v>
      </c>
      <c r="F8" s="8" t="s">
        <v>77</v>
      </c>
      <c r="G8" s="9">
        <v>2500</v>
      </c>
      <c r="H8" s="9">
        <v>88</v>
      </c>
      <c r="I8" s="8" t="s">
        <v>58</v>
      </c>
      <c r="J8" s="8" t="s">
        <v>66</v>
      </c>
    </row>
    <row r="9" spans="1:11" x14ac:dyDescent="0.2">
      <c r="A9" s="8" t="s">
        <v>78</v>
      </c>
      <c r="B9" s="8" t="s">
        <v>79</v>
      </c>
      <c r="C9" s="8" t="s">
        <v>62</v>
      </c>
      <c r="D9" s="8" t="s">
        <v>80</v>
      </c>
      <c r="E9" s="8" t="s">
        <v>81</v>
      </c>
      <c r="F9" s="8" t="s">
        <v>82</v>
      </c>
      <c r="G9" s="9">
        <v>2500</v>
      </c>
      <c r="H9" s="9">
        <v>88</v>
      </c>
      <c r="I9" s="8" t="s">
        <v>58</v>
      </c>
      <c r="J9" s="8" t="s">
        <v>83</v>
      </c>
      <c r="K9" s="31" t="s">
        <v>311</v>
      </c>
    </row>
    <row r="10" spans="1:11" x14ac:dyDescent="0.2">
      <c r="A10" s="8" t="s">
        <v>84</v>
      </c>
      <c r="B10" s="8" t="s">
        <v>85</v>
      </c>
      <c r="C10" s="8" t="s">
        <v>62</v>
      </c>
      <c r="D10" s="8" t="s">
        <v>86</v>
      </c>
      <c r="E10" s="8" t="s">
        <v>87</v>
      </c>
      <c r="F10" s="8" t="s">
        <v>88</v>
      </c>
      <c r="G10" s="9">
        <v>2500</v>
      </c>
      <c r="H10" s="9">
        <v>88</v>
      </c>
      <c r="I10" s="8" t="s">
        <v>58</v>
      </c>
      <c r="J10" s="8" t="s">
        <v>83</v>
      </c>
      <c r="K10" s="31" t="s">
        <v>311</v>
      </c>
    </row>
    <row r="11" spans="1:11" x14ac:dyDescent="0.2">
      <c r="A11" s="8" t="s">
        <v>89</v>
      </c>
      <c r="B11" s="8" t="s">
        <v>90</v>
      </c>
      <c r="C11" s="8" t="s">
        <v>62</v>
      </c>
      <c r="D11" s="8" t="s">
        <v>91</v>
      </c>
      <c r="E11" s="8" t="s">
        <v>92</v>
      </c>
      <c r="F11" s="8" t="s">
        <v>93</v>
      </c>
      <c r="G11" s="9">
        <v>2500</v>
      </c>
      <c r="H11" s="9">
        <v>88</v>
      </c>
      <c r="I11" s="8" t="s">
        <v>58</v>
      </c>
      <c r="J11" s="8" t="s">
        <v>83</v>
      </c>
      <c r="K11" s="31" t="s">
        <v>311</v>
      </c>
    </row>
    <row r="12" spans="1:11" ht="24.75" x14ac:dyDescent="0.2">
      <c r="A12" s="8" t="s">
        <v>94</v>
      </c>
      <c r="B12" s="8" t="s">
        <v>95</v>
      </c>
      <c r="C12" s="8" t="s">
        <v>62</v>
      </c>
      <c r="D12" s="8" t="s">
        <v>96</v>
      </c>
      <c r="E12" s="8" t="s">
        <v>97</v>
      </c>
      <c r="F12" s="8" t="s">
        <v>98</v>
      </c>
      <c r="G12" s="9">
        <v>2000</v>
      </c>
      <c r="H12" s="9">
        <v>65</v>
      </c>
      <c r="I12" s="8" t="s">
        <v>99</v>
      </c>
      <c r="J12" s="8" t="s">
        <v>100</v>
      </c>
    </row>
    <row r="13" spans="1:11" x14ac:dyDescent="0.2">
      <c r="A13" s="8" t="s">
        <v>101</v>
      </c>
      <c r="B13" s="8" t="s">
        <v>102</v>
      </c>
      <c r="C13" s="8" t="s">
        <v>103</v>
      </c>
      <c r="D13" s="8" t="s">
        <v>104</v>
      </c>
      <c r="E13" s="8" t="s">
        <v>105</v>
      </c>
      <c r="F13" s="8" t="s">
        <v>106</v>
      </c>
      <c r="G13" s="9">
        <v>1500</v>
      </c>
      <c r="H13" s="9">
        <v>65</v>
      </c>
      <c r="I13" s="8" t="s">
        <v>99</v>
      </c>
      <c r="J13" s="8" t="s">
        <v>100</v>
      </c>
    </row>
    <row r="14" spans="1:11" ht="24.75" x14ac:dyDescent="0.2">
      <c r="A14" s="8" t="s">
        <v>107</v>
      </c>
      <c r="B14" s="8" t="s">
        <v>108</v>
      </c>
      <c r="C14" s="8" t="s">
        <v>109</v>
      </c>
      <c r="D14" s="8" t="s">
        <v>110</v>
      </c>
      <c r="E14" s="8" t="s">
        <v>111</v>
      </c>
      <c r="F14" s="8" t="s">
        <v>112</v>
      </c>
      <c r="G14" s="9">
        <v>1000</v>
      </c>
      <c r="H14" s="9">
        <v>42</v>
      </c>
      <c r="I14" s="30" t="s">
        <v>99</v>
      </c>
      <c r="J14" s="8" t="s">
        <v>113</v>
      </c>
      <c r="K14" s="31" t="s">
        <v>309</v>
      </c>
    </row>
    <row r="15" spans="1:11" ht="24.75" x14ac:dyDescent="0.2">
      <c r="A15" s="8" t="s">
        <v>114</v>
      </c>
      <c r="B15" s="8" t="s">
        <v>115</v>
      </c>
      <c r="C15" s="8" t="s">
        <v>62</v>
      </c>
      <c r="D15" s="8" t="s">
        <v>116</v>
      </c>
      <c r="E15" s="8" t="s">
        <v>117</v>
      </c>
      <c r="F15" s="8" t="s">
        <v>118</v>
      </c>
      <c r="G15" s="9">
        <v>1000</v>
      </c>
      <c r="H15" s="9">
        <v>42</v>
      </c>
      <c r="I15" s="8" t="s">
        <v>99</v>
      </c>
      <c r="J15" s="8" t="s">
        <v>100</v>
      </c>
    </row>
    <row r="16" spans="1:11" x14ac:dyDescent="0.2">
      <c r="A16" s="10" t="s">
        <v>119</v>
      </c>
      <c r="F16" s="10" t="s">
        <v>120</v>
      </c>
      <c r="G16" s="11">
        <f>SUM(G5:G15)</f>
        <v>27000</v>
      </c>
    </row>
    <row r="18" spans="1:1" ht="70.5" x14ac:dyDescent="0.2">
      <c r="A18" s="2" t="s">
        <v>121</v>
      </c>
    </row>
    <row r="19" spans="1:1" ht="81.75" x14ac:dyDescent="0.2">
      <c r="A19" s="2" t="s">
        <v>122</v>
      </c>
    </row>
    <row r="20" spans="1:1" ht="81.75" x14ac:dyDescent="0.2">
      <c r="A20" s="2" t="s">
        <v>123</v>
      </c>
    </row>
    <row r="21" spans="1:1" ht="81.75" x14ac:dyDescent="0.2">
      <c r="A21" s="2" t="s">
        <v>124</v>
      </c>
    </row>
    <row r="22" spans="1:1" ht="70.5" x14ac:dyDescent="0.2">
      <c r="A22" s="2" t="s">
        <v>125</v>
      </c>
    </row>
    <row r="23" spans="1:1" ht="81.75" x14ac:dyDescent="0.2">
      <c r="A23" s="2" t="s">
        <v>126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showGridLines="0" topLeftCell="B1" zoomScaleNormal="100" workbookViewId="0">
      <pane ySplit="4" topLeftCell="B5" activePane="bottomLeft" state="frozen"/>
      <selection activeCell="D1" sqref="D1"/>
      <selection pane="bottomLeft" activeCell="D29" sqref="D29"/>
    </sheetView>
  </sheetViews>
  <sheetFormatPr defaultColWidth="8.7421875" defaultRowHeight="15" x14ac:dyDescent="0.2"/>
  <cols>
    <col min="1" max="1" width="25.9609375" customWidth="1"/>
    <col min="2" max="2" width="39.953125" customWidth="1"/>
    <col min="3" max="3" width="13.046875" customWidth="1"/>
    <col min="4" max="4" width="43.98828125" customWidth="1"/>
    <col min="5" max="5" width="34.03125" customWidth="1"/>
    <col min="6" max="6" width="78.0234375" customWidth="1"/>
  </cols>
  <sheetData>
    <row r="1" spans="1:6" ht="17.25" x14ac:dyDescent="0.2">
      <c r="A1" s="5" t="s">
        <v>127</v>
      </c>
    </row>
    <row r="2" spans="1:6" x14ac:dyDescent="0.2">
      <c r="A2" s="6" t="s">
        <v>128</v>
      </c>
    </row>
    <row r="4" spans="1:6" x14ac:dyDescent="0.2">
      <c r="A4" s="7" t="s">
        <v>129</v>
      </c>
      <c r="B4" s="7" t="s">
        <v>130</v>
      </c>
      <c r="C4" s="7" t="s">
        <v>131</v>
      </c>
      <c r="D4" s="7" t="s">
        <v>132</v>
      </c>
      <c r="E4" s="7" t="s">
        <v>133</v>
      </c>
      <c r="F4" s="7" t="s">
        <v>134</v>
      </c>
    </row>
    <row r="5" spans="1:6" ht="24.75" x14ac:dyDescent="0.2">
      <c r="A5" s="12" t="s">
        <v>135</v>
      </c>
      <c r="B5" s="12" t="s">
        <v>136</v>
      </c>
      <c r="C5" s="13" t="s">
        <v>137</v>
      </c>
      <c r="D5" s="12" t="s">
        <v>138</v>
      </c>
      <c r="E5" s="12" t="s">
        <v>139</v>
      </c>
      <c r="F5" s="12" t="s">
        <v>140</v>
      </c>
    </row>
    <row r="6" spans="1:6" x14ac:dyDescent="0.2">
      <c r="A6" s="8" t="s">
        <v>61</v>
      </c>
      <c r="B6" s="8" t="s">
        <v>141</v>
      </c>
      <c r="C6" s="14" t="s">
        <v>137</v>
      </c>
      <c r="D6" s="8" t="s">
        <v>142</v>
      </c>
      <c r="E6" s="15" t="s">
        <v>143</v>
      </c>
      <c r="F6" s="8" t="s">
        <v>144</v>
      </c>
    </row>
    <row r="7" spans="1:6" ht="24.75" x14ac:dyDescent="0.2">
      <c r="A7" s="8" t="s">
        <v>61</v>
      </c>
      <c r="B7" s="8" t="s">
        <v>145</v>
      </c>
      <c r="C7" s="16" t="s">
        <v>146</v>
      </c>
      <c r="D7" s="17" t="s">
        <v>313</v>
      </c>
      <c r="E7" s="15" t="s">
        <v>147</v>
      </c>
      <c r="F7" s="8" t="s">
        <v>148</v>
      </c>
    </row>
    <row r="8" spans="1:6" x14ac:dyDescent="0.2">
      <c r="A8" s="8" t="s">
        <v>68</v>
      </c>
      <c r="B8" s="8" t="s">
        <v>149</v>
      </c>
      <c r="C8" s="14" t="s">
        <v>137</v>
      </c>
      <c r="D8" s="8" t="s">
        <v>150</v>
      </c>
      <c r="E8" s="15" t="s">
        <v>151</v>
      </c>
      <c r="F8" s="8" t="s">
        <v>152</v>
      </c>
    </row>
    <row r="9" spans="1:6" ht="24.75" x14ac:dyDescent="0.2">
      <c r="A9" s="8" t="s">
        <v>68</v>
      </c>
      <c r="B9" s="8" t="s">
        <v>153</v>
      </c>
      <c r="C9" s="16" t="s">
        <v>146</v>
      </c>
      <c r="D9" s="17" t="s">
        <v>314</v>
      </c>
      <c r="E9" s="15" t="s">
        <v>147</v>
      </c>
      <c r="F9" s="8" t="s">
        <v>154</v>
      </c>
    </row>
    <row r="10" spans="1:6" ht="26.25" x14ac:dyDescent="0.2">
      <c r="A10" s="8" t="s">
        <v>73</v>
      </c>
      <c r="B10" s="8" t="s">
        <v>155</v>
      </c>
      <c r="C10" s="14" t="s">
        <v>99</v>
      </c>
      <c r="D10" s="30" t="s">
        <v>315</v>
      </c>
      <c r="E10" s="15" t="s">
        <v>156</v>
      </c>
      <c r="F10" s="8" t="s">
        <v>157</v>
      </c>
    </row>
    <row r="11" spans="1:6" ht="24.75" x14ac:dyDescent="0.2">
      <c r="A11" s="8" t="s">
        <v>73</v>
      </c>
      <c r="B11" s="8" t="s">
        <v>158</v>
      </c>
      <c r="C11" s="14" t="s">
        <v>137</v>
      </c>
      <c r="D11" s="8" t="s">
        <v>159</v>
      </c>
      <c r="E11" s="15" t="s">
        <v>62</v>
      </c>
      <c r="F11" s="8" t="s">
        <v>160</v>
      </c>
    </row>
    <row r="12" spans="1:6" x14ac:dyDescent="0.2">
      <c r="A12" s="8" t="s">
        <v>73</v>
      </c>
      <c r="B12" s="8" t="s">
        <v>161</v>
      </c>
      <c r="C12" s="14" t="s">
        <v>137</v>
      </c>
      <c r="D12" s="8" t="s">
        <v>162</v>
      </c>
      <c r="E12" s="15" t="s">
        <v>62</v>
      </c>
      <c r="F12" s="8" t="s">
        <v>163</v>
      </c>
    </row>
    <row r="13" spans="1:6" ht="24.75" x14ac:dyDescent="0.2">
      <c r="A13" s="8" t="s">
        <v>53</v>
      </c>
      <c r="B13" s="8" t="s">
        <v>164</v>
      </c>
      <c r="C13" s="16" t="s">
        <v>146</v>
      </c>
      <c r="D13" s="17" t="s">
        <v>316</v>
      </c>
      <c r="E13" s="15" t="s">
        <v>165</v>
      </c>
      <c r="F13" s="8" t="s">
        <v>166</v>
      </c>
    </row>
    <row r="14" spans="1:6" x14ac:dyDescent="0.2">
      <c r="A14" s="8" t="s">
        <v>53</v>
      </c>
      <c r="B14" s="8" t="s">
        <v>167</v>
      </c>
      <c r="C14" s="16" t="s">
        <v>146</v>
      </c>
      <c r="D14" s="17" t="s">
        <v>317</v>
      </c>
      <c r="E14" s="15" t="s">
        <v>168</v>
      </c>
      <c r="F14" s="8" t="s">
        <v>169</v>
      </c>
    </row>
    <row r="15" spans="1:6" ht="24.75" x14ac:dyDescent="0.2">
      <c r="A15" s="8" t="s">
        <v>53</v>
      </c>
      <c r="B15" s="8" t="s">
        <v>170</v>
      </c>
      <c r="C15" s="16" t="s">
        <v>146</v>
      </c>
      <c r="D15" s="17" t="s">
        <v>318</v>
      </c>
      <c r="E15" s="15" t="s">
        <v>171</v>
      </c>
      <c r="F15" s="8" t="s">
        <v>172</v>
      </c>
    </row>
    <row r="16" spans="1:6" ht="24.75" x14ac:dyDescent="0.2">
      <c r="A16" s="8" t="s">
        <v>173</v>
      </c>
      <c r="B16" s="8" t="s">
        <v>174</v>
      </c>
      <c r="C16" s="18" t="s">
        <v>175</v>
      </c>
      <c r="D16" s="30" t="s">
        <v>319</v>
      </c>
      <c r="E16" s="15" t="s">
        <v>176</v>
      </c>
      <c r="F16" s="8" t="s">
        <v>177</v>
      </c>
    </row>
    <row r="17" spans="1:6" x14ac:dyDescent="0.2">
      <c r="A17" s="8" t="s">
        <v>173</v>
      </c>
      <c r="B17" s="8" t="s">
        <v>178</v>
      </c>
      <c r="C17" s="18" t="s">
        <v>175</v>
      </c>
      <c r="D17" s="30" t="s">
        <v>179</v>
      </c>
      <c r="E17" s="15" t="s">
        <v>180</v>
      </c>
      <c r="F17" s="8" t="s">
        <v>181</v>
      </c>
    </row>
    <row r="18" spans="1:6" ht="24.75" x14ac:dyDescent="0.2">
      <c r="A18" s="8" t="s">
        <v>95</v>
      </c>
      <c r="B18" s="36" t="s">
        <v>350</v>
      </c>
      <c r="C18" s="16" t="s">
        <v>146</v>
      </c>
      <c r="D18" s="17" t="s">
        <v>324</v>
      </c>
      <c r="E18" s="15" t="s">
        <v>182</v>
      </c>
      <c r="F18" s="8" t="s">
        <v>183</v>
      </c>
    </row>
    <row r="19" spans="1:6" ht="36" x14ac:dyDescent="0.2">
      <c r="A19" s="8" t="s">
        <v>95</v>
      </c>
      <c r="B19" s="8" t="s">
        <v>184</v>
      </c>
      <c r="C19" s="16" t="s">
        <v>146</v>
      </c>
      <c r="D19" s="17" t="s">
        <v>325</v>
      </c>
      <c r="E19" s="15" t="s">
        <v>185</v>
      </c>
      <c r="F19" s="8" t="s">
        <v>186</v>
      </c>
    </row>
    <row r="20" spans="1:6" s="31" customFormat="1" ht="24.75" x14ac:dyDescent="0.2">
      <c r="A20" s="30" t="s">
        <v>321</v>
      </c>
      <c r="B20" s="30" t="s">
        <v>322</v>
      </c>
      <c r="C20" s="32"/>
      <c r="D20" s="30" t="s">
        <v>326</v>
      </c>
      <c r="E20" s="33"/>
      <c r="F20" s="30"/>
    </row>
    <row r="21" spans="1:6" ht="36" x14ac:dyDescent="0.2">
      <c r="A21" s="8" t="s">
        <v>115</v>
      </c>
      <c r="B21" s="8" t="s">
        <v>187</v>
      </c>
      <c r="C21" s="16" t="s">
        <v>146</v>
      </c>
      <c r="D21" s="17" t="s">
        <v>320</v>
      </c>
      <c r="E21" s="15" t="s">
        <v>188</v>
      </c>
      <c r="F21" s="8" t="s">
        <v>169</v>
      </c>
    </row>
    <row r="22" spans="1:6" ht="24.75" x14ac:dyDescent="0.2">
      <c r="A22" s="8" t="s">
        <v>115</v>
      </c>
      <c r="B22" s="8" t="s">
        <v>189</v>
      </c>
      <c r="C22" s="16" t="s">
        <v>146</v>
      </c>
      <c r="D22" s="36" t="s">
        <v>351</v>
      </c>
      <c r="E22" s="15" t="s">
        <v>185</v>
      </c>
      <c r="F22" s="8" t="s">
        <v>190</v>
      </c>
    </row>
    <row r="23" spans="1:6" x14ac:dyDescent="0.2">
      <c r="A23" s="8" t="s">
        <v>102</v>
      </c>
      <c r="B23" s="36" t="s">
        <v>350</v>
      </c>
      <c r="C23" s="14" t="s">
        <v>137</v>
      </c>
      <c r="D23" s="30" t="s">
        <v>327</v>
      </c>
      <c r="E23" s="15" t="s">
        <v>191</v>
      </c>
      <c r="F23" s="8" t="s">
        <v>192</v>
      </c>
    </row>
    <row r="24" spans="1:6" ht="24.75" x14ac:dyDescent="0.2">
      <c r="A24" s="8" t="s">
        <v>102</v>
      </c>
      <c r="B24" s="8" t="s">
        <v>193</v>
      </c>
      <c r="C24" s="14" t="s">
        <v>137</v>
      </c>
      <c r="D24" s="36" t="s">
        <v>352</v>
      </c>
      <c r="E24" s="15" t="s">
        <v>62</v>
      </c>
      <c r="F24" s="8" t="s">
        <v>194</v>
      </c>
    </row>
    <row r="25" spans="1:6" ht="24.75" x14ac:dyDescent="0.2">
      <c r="A25" s="8" t="s">
        <v>102</v>
      </c>
      <c r="B25" s="8" t="s">
        <v>195</v>
      </c>
      <c r="C25" s="14" t="s">
        <v>137</v>
      </c>
      <c r="D25" s="30" t="s">
        <v>196</v>
      </c>
      <c r="E25" s="15" t="s">
        <v>197</v>
      </c>
      <c r="F25" s="8" t="s">
        <v>198</v>
      </c>
    </row>
    <row r="26" spans="1:6" ht="36" x14ac:dyDescent="0.2">
      <c r="A26" s="8" t="s">
        <v>108</v>
      </c>
      <c r="B26" s="8" t="s">
        <v>199</v>
      </c>
      <c r="C26" s="14" t="s">
        <v>137</v>
      </c>
      <c r="D26" s="30" t="s">
        <v>328</v>
      </c>
      <c r="E26" s="15" t="s">
        <v>200</v>
      </c>
      <c r="F26" s="8" t="s">
        <v>201</v>
      </c>
    </row>
    <row r="27" spans="1:6" ht="24.75" x14ac:dyDescent="0.2">
      <c r="A27" s="8" t="s">
        <v>108</v>
      </c>
      <c r="B27" s="8" t="s">
        <v>202</v>
      </c>
      <c r="C27" s="16" t="s">
        <v>146</v>
      </c>
      <c r="D27" s="36" t="s">
        <v>353</v>
      </c>
      <c r="E27" s="15" t="s">
        <v>185</v>
      </c>
      <c r="F27" s="8" t="s">
        <v>203</v>
      </c>
    </row>
    <row r="28" spans="1:6" ht="47.25" x14ac:dyDescent="0.2">
      <c r="A28" s="8" t="s">
        <v>204</v>
      </c>
      <c r="B28" s="8" t="s">
        <v>205</v>
      </c>
      <c r="C28" s="16" t="s">
        <v>146</v>
      </c>
      <c r="D28" s="17" t="s">
        <v>329</v>
      </c>
      <c r="E28" s="15" t="s">
        <v>62</v>
      </c>
      <c r="F28" s="8" t="s">
        <v>206</v>
      </c>
    </row>
    <row r="29" spans="1:6" ht="36" x14ac:dyDescent="0.2">
      <c r="A29" s="8" t="s">
        <v>204</v>
      </c>
      <c r="B29" s="8" t="s">
        <v>207</v>
      </c>
      <c r="C29" s="14" t="s">
        <v>137</v>
      </c>
      <c r="D29" s="36" t="s">
        <v>354</v>
      </c>
      <c r="E29" s="15" t="s">
        <v>208</v>
      </c>
      <c r="F29" s="8" t="s">
        <v>209</v>
      </c>
    </row>
    <row r="30" spans="1:6" ht="24.75" x14ac:dyDescent="0.2">
      <c r="A30" s="8" t="s">
        <v>204</v>
      </c>
      <c r="B30" s="8" t="s">
        <v>210</v>
      </c>
      <c r="C30" s="16" t="s">
        <v>146</v>
      </c>
      <c r="D30" s="17" t="s">
        <v>330</v>
      </c>
      <c r="E30" s="15" t="s">
        <v>211</v>
      </c>
      <c r="F30" s="8" t="s">
        <v>212</v>
      </c>
    </row>
    <row r="31" spans="1:6" ht="24.75" x14ac:dyDescent="0.2">
      <c r="A31" s="8" t="s">
        <v>204</v>
      </c>
      <c r="B31" s="8" t="s">
        <v>213</v>
      </c>
      <c r="C31" s="18" t="s">
        <v>175</v>
      </c>
      <c r="D31" s="8" t="s">
        <v>214</v>
      </c>
      <c r="E31" s="15" t="s">
        <v>215</v>
      </c>
      <c r="F31" s="8" t="s">
        <v>216</v>
      </c>
    </row>
    <row r="32" spans="1:6" ht="26.25" x14ac:dyDescent="0.2">
      <c r="A32" s="8" t="s">
        <v>204</v>
      </c>
      <c r="B32" s="8" t="s">
        <v>217</v>
      </c>
      <c r="C32" s="14" t="s">
        <v>137</v>
      </c>
      <c r="D32" s="8" t="s">
        <v>218</v>
      </c>
      <c r="E32" s="15" t="s">
        <v>62</v>
      </c>
      <c r="F32" s="8" t="s">
        <v>219</v>
      </c>
    </row>
    <row r="34" spans="1:5" ht="70.5" x14ac:dyDescent="0.2">
      <c r="A34" s="19" t="s">
        <v>220</v>
      </c>
    </row>
    <row r="35" spans="1:5" x14ac:dyDescent="0.2">
      <c r="C35" t="s">
        <v>331</v>
      </c>
      <c r="D35">
        <v>8</v>
      </c>
    </row>
    <row r="36" spans="1:5" x14ac:dyDescent="0.2">
      <c r="C36" t="s">
        <v>332</v>
      </c>
      <c r="D36">
        <v>10</v>
      </c>
      <c r="E36">
        <f>D36/D35</f>
        <v>1.25</v>
      </c>
    </row>
    <row r="37" spans="1:5" x14ac:dyDescent="0.2">
      <c r="C37" t="s">
        <v>333</v>
      </c>
      <c r="D37">
        <v>20</v>
      </c>
      <c r="E37">
        <f t="shared" ref="E37:E48" si="0">D37/D36</f>
        <v>2</v>
      </c>
    </row>
    <row r="38" spans="1:5" x14ac:dyDescent="0.2">
      <c r="C38" t="s">
        <v>334</v>
      </c>
      <c r="D38">
        <v>80</v>
      </c>
      <c r="E38">
        <f t="shared" si="0"/>
        <v>4</v>
      </c>
    </row>
    <row r="39" spans="1:5" x14ac:dyDescent="0.2">
      <c r="C39" t="s">
        <v>335</v>
      </c>
      <c r="D39">
        <v>440</v>
      </c>
      <c r="E39">
        <f t="shared" si="0"/>
        <v>5.5</v>
      </c>
    </row>
    <row r="40" spans="1:5" x14ac:dyDescent="0.2">
      <c r="C40" t="s">
        <v>336</v>
      </c>
      <c r="D40">
        <v>1440</v>
      </c>
      <c r="E40">
        <f t="shared" si="0"/>
        <v>3.2727272727272729</v>
      </c>
    </row>
    <row r="41" spans="1:5" x14ac:dyDescent="0.2">
      <c r="C41" t="s">
        <v>337</v>
      </c>
      <c r="D41">
        <v>4400</v>
      </c>
      <c r="E41">
        <f t="shared" si="0"/>
        <v>3.0555555555555554</v>
      </c>
    </row>
    <row r="42" spans="1:5" x14ac:dyDescent="0.2">
      <c r="C42" t="s">
        <v>338</v>
      </c>
      <c r="D42">
        <v>12800</v>
      </c>
      <c r="E42">
        <f t="shared" si="0"/>
        <v>2.9090909090909092</v>
      </c>
    </row>
    <row r="43" spans="1:5" x14ac:dyDescent="0.2">
      <c r="C43" t="s">
        <v>339</v>
      </c>
      <c r="D43">
        <v>35200</v>
      </c>
      <c r="E43">
        <f t="shared" si="0"/>
        <v>2.75</v>
      </c>
    </row>
    <row r="44" spans="1:5" x14ac:dyDescent="0.2">
      <c r="C44" t="s">
        <v>340</v>
      </c>
      <c r="D44">
        <v>89600</v>
      </c>
      <c r="E44">
        <f t="shared" si="0"/>
        <v>2.5454545454545454</v>
      </c>
    </row>
    <row r="45" spans="1:5" x14ac:dyDescent="0.2">
      <c r="C45" t="s">
        <v>341</v>
      </c>
      <c r="D45">
        <v>192000</v>
      </c>
      <c r="E45">
        <f t="shared" si="0"/>
        <v>2.1428571428571428</v>
      </c>
    </row>
    <row r="46" spans="1:5" x14ac:dyDescent="0.2">
      <c r="C46" t="s">
        <v>342</v>
      </c>
      <c r="D46">
        <v>253400</v>
      </c>
      <c r="E46">
        <f t="shared" si="0"/>
        <v>1.3197916666666667</v>
      </c>
    </row>
    <row r="47" spans="1:5" x14ac:dyDescent="0.2">
      <c r="C47" t="s">
        <v>343</v>
      </c>
      <c r="D47">
        <v>334500</v>
      </c>
      <c r="E47">
        <f t="shared" si="0"/>
        <v>1.3200473559589583</v>
      </c>
    </row>
    <row r="48" spans="1:5" x14ac:dyDescent="0.2">
      <c r="C48" t="s">
        <v>344</v>
      </c>
      <c r="D48">
        <v>441500</v>
      </c>
      <c r="E48">
        <f t="shared" si="0"/>
        <v>1.3198804185351272</v>
      </c>
    </row>
    <row r="49" spans="3:3" x14ac:dyDescent="0.2">
      <c r="C49" t="s">
        <v>345</v>
      </c>
    </row>
    <row r="50" spans="3:3" x14ac:dyDescent="0.2">
      <c r="C50" t="s">
        <v>346</v>
      </c>
    </row>
    <row r="51" spans="3:3" x14ac:dyDescent="0.2">
      <c r="C51" t="s">
        <v>347</v>
      </c>
    </row>
  </sheetData>
  <phoneticPr fontId="13" alignment="center"/>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7"/>
  <sheetViews>
    <sheetView showGridLines="0" topLeftCell="A2" zoomScaleNormal="100" workbookViewId="0">
      <selection activeCell="B63" sqref="B63"/>
    </sheetView>
  </sheetViews>
  <sheetFormatPr defaultColWidth="8.7421875" defaultRowHeight="15" x14ac:dyDescent="0.2"/>
  <cols>
    <col min="1" max="1" width="9.01171875" customWidth="1"/>
    <col min="2" max="4" width="20.04296875" customWidth="1"/>
    <col min="5" max="15" width="14.9296875" customWidth="1"/>
  </cols>
  <sheetData>
    <row r="1" spans="1:18" ht="17.25" x14ac:dyDescent="0.2">
      <c r="A1" s="5" t="s">
        <v>221</v>
      </c>
    </row>
    <row r="2" spans="1:18" x14ac:dyDescent="0.2">
      <c r="A2" s="6" t="s">
        <v>222</v>
      </c>
    </row>
    <row r="4" spans="1:18" x14ac:dyDescent="0.2">
      <c r="A4" s="10" t="s">
        <v>223</v>
      </c>
      <c r="B4" s="20" t="s">
        <v>224</v>
      </c>
      <c r="C4" s="6" t="s">
        <v>225</v>
      </c>
    </row>
    <row r="5" spans="1:18" x14ac:dyDescent="0.2">
      <c r="B5" s="29" t="s">
        <v>348</v>
      </c>
    </row>
    <row r="6" spans="1:18" x14ac:dyDescent="0.2">
      <c r="A6" s="10" t="s">
        <v>226</v>
      </c>
    </row>
    <row r="7" spans="1:18" x14ac:dyDescent="0.2">
      <c r="A7" s="21" t="s">
        <v>227</v>
      </c>
      <c r="B7" s="22">
        <v>1.2589999999999999</v>
      </c>
      <c r="C7" s="6" t="s">
        <v>228</v>
      </c>
    </row>
    <row r="8" spans="1:18" x14ac:dyDescent="0.2">
      <c r="A8" s="21" t="s">
        <v>229</v>
      </c>
      <c r="B8" s="22">
        <v>1.32</v>
      </c>
      <c r="C8" s="6" t="s">
        <v>230</v>
      </c>
    </row>
    <row r="9" spans="1:18" x14ac:dyDescent="0.2">
      <c r="A9" s="21" t="s">
        <v>231</v>
      </c>
      <c r="B9" s="20">
        <v>12</v>
      </c>
      <c r="C9" s="6" t="s">
        <v>232</v>
      </c>
    </row>
    <row r="11" spans="1:18" ht="129.75" customHeight="1" x14ac:dyDescent="0.2">
      <c r="A11" s="7" t="s">
        <v>233</v>
      </c>
      <c r="B11" s="7" t="s">
        <v>234</v>
      </c>
      <c r="C11" s="7" t="s">
        <v>235</v>
      </c>
      <c r="D11" s="7" t="s">
        <v>236</v>
      </c>
      <c r="E11" s="23" t="s">
        <v>53</v>
      </c>
      <c r="F11" s="23" t="s">
        <v>61</v>
      </c>
      <c r="G11" s="23" t="s">
        <v>68</v>
      </c>
      <c r="H11" s="23" t="s">
        <v>73</v>
      </c>
      <c r="I11" s="23" t="s">
        <v>79</v>
      </c>
      <c r="J11" s="23" t="s">
        <v>85</v>
      </c>
      <c r="K11" s="23" t="s">
        <v>90</v>
      </c>
      <c r="L11" s="23" t="s">
        <v>95</v>
      </c>
      <c r="M11" s="23" t="s">
        <v>102</v>
      </c>
      <c r="N11" s="23" t="s">
        <v>108</v>
      </c>
      <c r="O11" s="23" t="s">
        <v>115</v>
      </c>
    </row>
    <row r="12" spans="1:18" x14ac:dyDescent="0.2">
      <c r="D12" s="10" t="s">
        <v>237</v>
      </c>
      <c r="E12" s="24">
        <f>BATIMENTS!G5</f>
        <v>5500</v>
      </c>
      <c r="F12" s="24">
        <f>BATIMENTS!G6</f>
        <v>3000</v>
      </c>
      <c r="G12" s="24">
        <f>BATIMENTS!G7</f>
        <v>3000</v>
      </c>
      <c r="H12" s="24">
        <f>BATIMENTS!G8</f>
        <v>2500</v>
      </c>
      <c r="I12" s="24">
        <f>BATIMENTS!G9</f>
        <v>2500</v>
      </c>
      <c r="J12" s="24">
        <f>BATIMENTS!G10</f>
        <v>2500</v>
      </c>
      <c r="K12" s="24">
        <f>BATIMENTS!G11</f>
        <v>2500</v>
      </c>
      <c r="L12" s="24">
        <f>BATIMENTS!G12</f>
        <v>2000</v>
      </c>
      <c r="M12" s="24">
        <f>BATIMENTS!G13</f>
        <v>1500</v>
      </c>
      <c r="N12" s="24">
        <f>BATIMENTS!G14</f>
        <v>1000</v>
      </c>
      <c r="O12" s="24">
        <f>BATIMENTS!G15</f>
        <v>1000</v>
      </c>
    </row>
    <row r="13" spans="1:18" x14ac:dyDescent="0.2">
      <c r="A13" s="25">
        <v>1</v>
      </c>
      <c r="B13" s="26">
        <f>$B$7^(MIN(A13,$B$9)-1)*$B$8^(MAX(A13-$B$9,0))</f>
        <v>1</v>
      </c>
      <c r="C13" s="26">
        <f>$B$8^(A13-1)</f>
        <v>1</v>
      </c>
      <c r="D13" s="34">
        <v>1.1000000000000001</v>
      </c>
      <c r="E13" s="27">
        <f>E12*D13</f>
        <v>6050.0000000000009</v>
      </c>
      <c r="F13" s="27">
        <f>F12*$D13</f>
        <v>3300.0000000000005</v>
      </c>
      <c r="G13" s="27">
        <f>G12*$D13</f>
        <v>3300.0000000000005</v>
      </c>
      <c r="H13" s="27">
        <f>H12*$D13</f>
        <v>2750</v>
      </c>
      <c r="I13" s="27">
        <f>I12*$D13</f>
        <v>2750</v>
      </c>
      <c r="J13" s="27">
        <f>J12*$D13</f>
        <v>2750</v>
      </c>
      <c r="K13" s="27">
        <f>K12*$D13</f>
        <v>2750</v>
      </c>
      <c r="L13" s="27">
        <f>L12*$D13</f>
        <v>2200</v>
      </c>
      <c r="M13" s="27">
        <f>M12*$D13</f>
        <v>1650.0000000000002</v>
      </c>
      <c r="N13" s="27">
        <f>N12*$D13</f>
        <v>1100</v>
      </c>
      <c r="O13" s="27">
        <f>O12*$D13</f>
        <v>1100</v>
      </c>
      <c r="Q13">
        <v>5500</v>
      </c>
    </row>
    <row r="14" spans="1:18" x14ac:dyDescent="0.2">
      <c r="A14" s="25">
        <v>2</v>
      </c>
      <c r="B14" s="26">
        <f>$B$7^(MIN(A14,$B$9)-1)*$B$8^(MAX(A14-$B$9,0))</f>
        <v>1.2589999999999999</v>
      </c>
      <c r="C14" s="26">
        <f>$B$8^(A14-1)</f>
        <v>1.32</v>
      </c>
      <c r="D14" s="34">
        <v>1.1000000000000001</v>
      </c>
      <c r="E14" s="27">
        <f t="shared" ref="E14:E62" si="0">E13*D14</f>
        <v>6655.0000000000018</v>
      </c>
      <c r="F14" s="27">
        <f t="shared" ref="F14:F62" si="1">F13*$D14</f>
        <v>3630.0000000000009</v>
      </c>
      <c r="G14" s="27">
        <f t="shared" ref="G14:G62" si="2">G13*$D14</f>
        <v>3630.0000000000009</v>
      </c>
      <c r="H14" s="27">
        <f t="shared" ref="H14:H62" si="3">H13*$D14</f>
        <v>3025.0000000000005</v>
      </c>
      <c r="I14" s="27">
        <f t="shared" ref="I14:I62" si="4">I13*$D14</f>
        <v>3025.0000000000005</v>
      </c>
      <c r="J14" s="27">
        <f t="shared" ref="J14:J62" si="5">J13*$D14</f>
        <v>3025.0000000000005</v>
      </c>
      <c r="K14" s="27">
        <f t="shared" ref="K14:K62" si="6">K13*$D14</f>
        <v>3025.0000000000005</v>
      </c>
      <c r="L14" s="27">
        <f t="shared" ref="L14:L62" si="7">L13*$D14</f>
        <v>2420</v>
      </c>
      <c r="M14" s="27">
        <f t="shared" ref="M14:M62" si="8">M13*$D14</f>
        <v>1815.0000000000005</v>
      </c>
      <c r="N14" s="27">
        <f t="shared" ref="N14:N62" si="9">N13*$D14</f>
        <v>1210</v>
      </c>
      <c r="O14" s="27">
        <f t="shared" ref="O14:O62" si="10">O13*$D14</f>
        <v>1210</v>
      </c>
      <c r="Q14">
        <v>6050</v>
      </c>
      <c r="R14">
        <f>Q14/Q13</f>
        <v>1.1000000000000001</v>
      </c>
    </row>
    <row r="15" spans="1:18" x14ac:dyDescent="0.2">
      <c r="A15" s="25">
        <v>3</v>
      </c>
      <c r="B15" s="26">
        <f>$B$7^(MIN(A15,$B$9)-1)*$B$8^(MAX(A15-$B$9,0))</f>
        <v>1.5850809999999997</v>
      </c>
      <c r="C15" s="26">
        <f>$B$8^(A15-1)</f>
        <v>1.7424000000000002</v>
      </c>
      <c r="D15" s="34">
        <v>1.1000000000000001</v>
      </c>
      <c r="E15" s="27">
        <f t="shared" si="0"/>
        <v>7320.5000000000027</v>
      </c>
      <c r="F15" s="27">
        <f t="shared" si="1"/>
        <v>3993.0000000000014</v>
      </c>
      <c r="G15" s="27">
        <f t="shared" si="2"/>
        <v>3993.0000000000014</v>
      </c>
      <c r="H15" s="27">
        <f t="shared" si="3"/>
        <v>3327.5000000000009</v>
      </c>
      <c r="I15" s="27">
        <f t="shared" si="4"/>
        <v>3327.5000000000009</v>
      </c>
      <c r="J15" s="27">
        <f t="shared" si="5"/>
        <v>3327.5000000000009</v>
      </c>
      <c r="K15" s="27">
        <f t="shared" si="6"/>
        <v>3327.5000000000009</v>
      </c>
      <c r="L15" s="27">
        <f t="shared" si="7"/>
        <v>2662</v>
      </c>
      <c r="M15" s="27">
        <f t="shared" si="8"/>
        <v>1996.5000000000007</v>
      </c>
      <c r="N15" s="27">
        <f t="shared" si="9"/>
        <v>1331</v>
      </c>
      <c r="O15" s="27">
        <f t="shared" si="10"/>
        <v>1331</v>
      </c>
      <c r="Q15">
        <v>6655</v>
      </c>
      <c r="R15">
        <f t="shared" ref="R15:R16" si="11">Q15/Q14</f>
        <v>1.1000000000000001</v>
      </c>
    </row>
    <row r="16" spans="1:18" x14ac:dyDescent="0.2">
      <c r="A16" s="25">
        <v>4</v>
      </c>
      <c r="B16" s="26">
        <f>$B$7^(MIN(A16,$B$9)-1)*$B$8^(MAX(A16-$B$9,0))</f>
        <v>1.9956169789999996</v>
      </c>
      <c r="C16" s="26">
        <f>$B$8^(A16-1)</f>
        <v>2.2999680000000002</v>
      </c>
      <c r="D16" s="34">
        <v>1.1000000000000001</v>
      </c>
      <c r="E16" s="27">
        <f t="shared" si="0"/>
        <v>8052.5500000000038</v>
      </c>
      <c r="F16" s="27">
        <f t="shared" si="1"/>
        <v>4392.300000000002</v>
      </c>
      <c r="G16" s="27">
        <f t="shared" si="2"/>
        <v>4392.300000000002</v>
      </c>
      <c r="H16" s="27">
        <f t="shared" si="3"/>
        <v>3660.2500000000014</v>
      </c>
      <c r="I16" s="27">
        <f t="shared" si="4"/>
        <v>3660.2500000000014</v>
      </c>
      <c r="J16" s="27">
        <f t="shared" si="5"/>
        <v>3660.2500000000014</v>
      </c>
      <c r="K16" s="27">
        <f t="shared" si="6"/>
        <v>3660.2500000000014</v>
      </c>
      <c r="L16" s="27">
        <f t="shared" si="7"/>
        <v>2928.2000000000003</v>
      </c>
      <c r="M16" s="27">
        <f t="shared" si="8"/>
        <v>2196.150000000001</v>
      </c>
      <c r="N16" s="27">
        <f t="shared" si="9"/>
        <v>1464.1000000000001</v>
      </c>
      <c r="O16" s="27">
        <f t="shared" si="10"/>
        <v>1464.1000000000001</v>
      </c>
      <c r="Q16">
        <v>7321</v>
      </c>
      <c r="R16">
        <f t="shared" si="11"/>
        <v>1.1000751314800901</v>
      </c>
    </row>
    <row r="17" spans="1:15" x14ac:dyDescent="0.2">
      <c r="A17" s="25">
        <v>5</v>
      </c>
      <c r="B17" s="26">
        <f>$B$7^(MIN(A17,$B$9)-1)*$B$8^(MAX(A17-$B$9,0))</f>
        <v>2.5124817765609992</v>
      </c>
      <c r="C17" s="26">
        <f>$B$8^(A17-1)</f>
        <v>3.0359577600000005</v>
      </c>
      <c r="D17" s="34">
        <v>1.1000000000000001</v>
      </c>
      <c r="E17" s="27">
        <f t="shared" si="0"/>
        <v>8857.8050000000057</v>
      </c>
      <c r="F17" s="27">
        <f t="shared" si="1"/>
        <v>4831.5300000000025</v>
      </c>
      <c r="G17" s="27">
        <f t="shared" si="2"/>
        <v>4831.5300000000025</v>
      </c>
      <c r="H17" s="27">
        <f t="shared" si="3"/>
        <v>4026.2750000000019</v>
      </c>
      <c r="I17" s="27">
        <f t="shared" si="4"/>
        <v>4026.2750000000019</v>
      </c>
      <c r="J17" s="27">
        <f t="shared" si="5"/>
        <v>4026.2750000000019</v>
      </c>
      <c r="K17" s="27">
        <f t="shared" si="6"/>
        <v>4026.2750000000019</v>
      </c>
      <c r="L17" s="27">
        <f t="shared" si="7"/>
        <v>3221.0200000000004</v>
      </c>
      <c r="M17" s="27">
        <f t="shared" si="8"/>
        <v>2415.7650000000012</v>
      </c>
      <c r="N17" s="27">
        <f t="shared" si="9"/>
        <v>1610.5100000000002</v>
      </c>
      <c r="O17" s="27">
        <f t="shared" si="10"/>
        <v>1610.5100000000002</v>
      </c>
    </row>
    <row r="18" spans="1:15" x14ac:dyDescent="0.2">
      <c r="A18" s="25">
        <v>6</v>
      </c>
      <c r="B18" s="26">
        <f>$B$7^(MIN(A18,$B$9)-1)*$B$8^(MAX(A18-$B$9,0))</f>
        <v>3.1632145566902978</v>
      </c>
      <c r="C18" s="26">
        <f>$B$8^(A18-1)</f>
        <v>4.0074642432000012</v>
      </c>
      <c r="D18" s="34">
        <v>1.1000000000000001</v>
      </c>
      <c r="E18" s="27">
        <f t="shared" si="0"/>
        <v>9743.5855000000065</v>
      </c>
      <c r="F18" s="27">
        <f t="shared" si="1"/>
        <v>5314.6830000000027</v>
      </c>
      <c r="G18" s="27">
        <f t="shared" si="2"/>
        <v>5314.6830000000027</v>
      </c>
      <c r="H18" s="27">
        <f t="shared" si="3"/>
        <v>4428.9025000000029</v>
      </c>
      <c r="I18" s="27">
        <f t="shared" si="4"/>
        <v>4428.9025000000029</v>
      </c>
      <c r="J18" s="27">
        <f t="shared" si="5"/>
        <v>4428.9025000000029</v>
      </c>
      <c r="K18" s="27">
        <f t="shared" si="6"/>
        <v>4428.9025000000029</v>
      </c>
      <c r="L18" s="27">
        <f t="shared" si="7"/>
        <v>3543.1220000000008</v>
      </c>
      <c r="M18" s="27">
        <f t="shared" si="8"/>
        <v>2657.3415000000014</v>
      </c>
      <c r="N18" s="27">
        <f t="shared" si="9"/>
        <v>1771.5610000000004</v>
      </c>
      <c r="O18" s="27">
        <f t="shared" si="10"/>
        <v>1771.5610000000004</v>
      </c>
    </row>
    <row r="19" spans="1:15" x14ac:dyDescent="0.2">
      <c r="A19" s="25">
        <v>7</v>
      </c>
      <c r="B19" s="26">
        <f>$B$7^(MIN(A19,$B$9)-1)*$B$8^(MAX(A19-$B$9,0))</f>
        <v>3.9824871268730848</v>
      </c>
      <c r="C19" s="26">
        <f>$B$8^(A19-1)</f>
        <v>5.2898528010240016</v>
      </c>
      <c r="D19" s="34">
        <v>1.1000000000000001</v>
      </c>
      <c r="E19" s="27">
        <f t="shared" si="0"/>
        <v>10717.944050000007</v>
      </c>
      <c r="F19" s="27">
        <f t="shared" si="1"/>
        <v>5846.1513000000032</v>
      </c>
      <c r="G19" s="27">
        <f t="shared" si="2"/>
        <v>5846.1513000000032</v>
      </c>
      <c r="H19" s="27">
        <f t="shared" si="3"/>
        <v>4871.7927500000033</v>
      </c>
      <c r="I19" s="27">
        <f t="shared" si="4"/>
        <v>4871.7927500000033</v>
      </c>
      <c r="J19" s="27">
        <f t="shared" si="5"/>
        <v>4871.7927500000033</v>
      </c>
      <c r="K19" s="27">
        <f t="shared" si="6"/>
        <v>4871.7927500000033</v>
      </c>
      <c r="L19" s="27">
        <f t="shared" si="7"/>
        <v>3897.4342000000011</v>
      </c>
      <c r="M19" s="27">
        <f t="shared" si="8"/>
        <v>2923.0756500000016</v>
      </c>
      <c r="N19" s="27">
        <f t="shared" si="9"/>
        <v>1948.7171000000005</v>
      </c>
      <c r="O19" s="27">
        <f t="shared" si="10"/>
        <v>1948.7171000000005</v>
      </c>
    </row>
    <row r="20" spans="1:15" x14ac:dyDescent="0.2">
      <c r="A20" s="25">
        <v>8</v>
      </c>
      <c r="B20" s="26">
        <f>$B$7^(MIN(A20,$B$9)-1)*$B$8^(MAX(A20-$B$9,0))</f>
        <v>5.0139512927332133</v>
      </c>
      <c r="C20" s="26">
        <f>$B$8^(A20-1)</f>
        <v>6.9826056973516817</v>
      </c>
      <c r="D20" s="34">
        <v>1.1000000000000001</v>
      </c>
      <c r="E20" s="27">
        <f t="shared" si="0"/>
        <v>11789.73845500001</v>
      </c>
      <c r="F20" s="27">
        <f t="shared" si="1"/>
        <v>6430.7664300000042</v>
      </c>
      <c r="G20" s="27">
        <f t="shared" si="2"/>
        <v>6430.7664300000042</v>
      </c>
      <c r="H20" s="27">
        <f t="shared" si="3"/>
        <v>5358.9720250000037</v>
      </c>
      <c r="I20" s="27">
        <f t="shared" si="4"/>
        <v>5358.9720250000037</v>
      </c>
      <c r="J20" s="27">
        <f t="shared" si="5"/>
        <v>5358.9720250000037</v>
      </c>
      <c r="K20" s="27">
        <f t="shared" si="6"/>
        <v>5358.9720250000037</v>
      </c>
      <c r="L20" s="27">
        <f t="shared" si="7"/>
        <v>4287.1776200000013</v>
      </c>
      <c r="M20" s="27">
        <f t="shared" si="8"/>
        <v>3215.3832150000021</v>
      </c>
      <c r="N20" s="27">
        <f t="shared" si="9"/>
        <v>2143.5888100000006</v>
      </c>
      <c r="O20" s="27">
        <f t="shared" si="10"/>
        <v>2143.5888100000006</v>
      </c>
    </row>
    <row r="21" spans="1:15" x14ac:dyDescent="0.2">
      <c r="A21" s="25">
        <v>9</v>
      </c>
      <c r="B21" s="26">
        <f>$B$7^(MIN(A21,$B$9)-1)*$B$8^(MAX(A21-$B$9,0))</f>
        <v>6.3125646775511148</v>
      </c>
      <c r="C21" s="26">
        <f>$B$8^(A21-1)</f>
        <v>9.2170395205042208</v>
      </c>
      <c r="D21" s="34">
        <v>1.1000000000000001</v>
      </c>
      <c r="E21" s="27">
        <f t="shared" si="0"/>
        <v>12968.712300500012</v>
      </c>
      <c r="F21" s="27">
        <f t="shared" si="1"/>
        <v>7073.8430730000055</v>
      </c>
      <c r="G21" s="27">
        <f t="shared" si="2"/>
        <v>7073.8430730000055</v>
      </c>
      <c r="H21" s="27">
        <f t="shared" si="3"/>
        <v>5894.8692275000049</v>
      </c>
      <c r="I21" s="27">
        <f t="shared" si="4"/>
        <v>5894.8692275000049</v>
      </c>
      <c r="J21" s="27">
        <f t="shared" si="5"/>
        <v>5894.8692275000049</v>
      </c>
      <c r="K21" s="27">
        <f t="shared" si="6"/>
        <v>5894.8692275000049</v>
      </c>
      <c r="L21" s="27">
        <f t="shared" si="7"/>
        <v>4715.8953820000015</v>
      </c>
      <c r="M21" s="27">
        <f t="shared" si="8"/>
        <v>3536.9215365000027</v>
      </c>
      <c r="N21" s="27">
        <f t="shared" si="9"/>
        <v>2357.9476910000008</v>
      </c>
      <c r="O21" s="27">
        <f t="shared" si="10"/>
        <v>2357.9476910000008</v>
      </c>
    </row>
    <row r="22" spans="1:15" x14ac:dyDescent="0.2">
      <c r="A22" s="25">
        <v>10</v>
      </c>
      <c r="B22" s="26">
        <f>$B$7^(MIN(A22,$B$9)-1)*$B$8^(MAX(A22-$B$9,0))</f>
        <v>7.9475189290368533</v>
      </c>
      <c r="C22" s="26">
        <f>$B$8^(A22-1)</f>
        <v>12.166492167065572</v>
      </c>
      <c r="D22" s="34">
        <v>1.1000000000000001</v>
      </c>
      <c r="E22" s="27">
        <f t="shared" si="0"/>
        <v>14265.583530550015</v>
      </c>
      <c r="F22" s="27">
        <f t="shared" si="1"/>
        <v>7781.2273803000062</v>
      </c>
      <c r="G22" s="27">
        <f t="shared" si="2"/>
        <v>7781.2273803000062</v>
      </c>
      <c r="H22" s="27">
        <f t="shared" si="3"/>
        <v>6484.3561502500061</v>
      </c>
      <c r="I22" s="27">
        <f t="shared" si="4"/>
        <v>6484.3561502500061</v>
      </c>
      <c r="J22" s="27">
        <f t="shared" si="5"/>
        <v>6484.3561502500061</v>
      </c>
      <c r="K22" s="27">
        <f t="shared" si="6"/>
        <v>6484.3561502500061</v>
      </c>
      <c r="L22" s="27">
        <f t="shared" si="7"/>
        <v>5187.4849202000023</v>
      </c>
      <c r="M22" s="27">
        <f t="shared" si="8"/>
        <v>3890.6136901500031</v>
      </c>
      <c r="N22" s="27">
        <f t="shared" si="9"/>
        <v>2593.7424601000012</v>
      </c>
      <c r="O22" s="27">
        <f t="shared" si="10"/>
        <v>2593.7424601000012</v>
      </c>
    </row>
    <row r="23" spans="1:15" x14ac:dyDescent="0.2">
      <c r="A23" s="25">
        <v>11</v>
      </c>
      <c r="B23" s="26">
        <f>$B$7^(MIN(A23,$B$9)-1)*$B$8^(MAX(A23-$B$9,0))</f>
        <v>10.005926331657397</v>
      </c>
      <c r="C23" s="26">
        <f>$B$8^(A23-1)</f>
        <v>16.059769660526555</v>
      </c>
      <c r="D23" s="34">
        <v>1.1000000000000001</v>
      </c>
      <c r="E23" s="27">
        <f t="shared" si="0"/>
        <v>15692.141883605018</v>
      </c>
      <c r="F23" s="27">
        <f t="shared" si="1"/>
        <v>8559.3501183300068</v>
      </c>
      <c r="G23" s="27">
        <f t="shared" si="2"/>
        <v>8559.3501183300068</v>
      </c>
      <c r="H23" s="27">
        <f t="shared" si="3"/>
        <v>7132.7917652750075</v>
      </c>
      <c r="I23" s="27">
        <f t="shared" si="4"/>
        <v>7132.7917652750075</v>
      </c>
      <c r="J23" s="27">
        <f t="shared" si="5"/>
        <v>7132.7917652750075</v>
      </c>
      <c r="K23" s="27">
        <f t="shared" si="6"/>
        <v>7132.7917652750075</v>
      </c>
      <c r="L23" s="27">
        <f t="shared" si="7"/>
        <v>5706.2334122200027</v>
      </c>
      <c r="M23" s="27">
        <f t="shared" si="8"/>
        <v>4279.6750591650034</v>
      </c>
      <c r="N23" s="27">
        <f t="shared" si="9"/>
        <v>2853.1167061100014</v>
      </c>
      <c r="O23" s="27">
        <f t="shared" si="10"/>
        <v>2853.1167061100014</v>
      </c>
    </row>
    <row r="24" spans="1:15" x14ac:dyDescent="0.2">
      <c r="A24" s="25">
        <v>12</v>
      </c>
      <c r="B24" s="26">
        <f>$B$7^(MIN(A24,$B$9)-1)*$B$8^(MAX(A24-$B$9,0))</f>
        <v>12.597461251556663</v>
      </c>
      <c r="C24" s="26">
        <f>$B$8^(A24-1)</f>
        <v>21.198895951895054</v>
      </c>
      <c r="D24" s="34">
        <v>1.1000000000000001</v>
      </c>
      <c r="E24" s="27">
        <f t="shared" si="0"/>
        <v>17261.356071965522</v>
      </c>
      <c r="F24" s="27">
        <f t="shared" si="1"/>
        <v>9415.2851301630089</v>
      </c>
      <c r="G24" s="27">
        <f t="shared" si="2"/>
        <v>9415.2851301630089</v>
      </c>
      <c r="H24" s="27">
        <f t="shared" si="3"/>
        <v>7846.070941802509</v>
      </c>
      <c r="I24" s="27">
        <f t="shared" si="4"/>
        <v>7846.070941802509</v>
      </c>
      <c r="J24" s="27">
        <f t="shared" si="5"/>
        <v>7846.070941802509</v>
      </c>
      <c r="K24" s="27">
        <f t="shared" si="6"/>
        <v>7846.070941802509</v>
      </c>
      <c r="L24" s="27">
        <f t="shared" si="7"/>
        <v>6276.8567534420035</v>
      </c>
      <c r="M24" s="27">
        <f t="shared" si="8"/>
        <v>4707.6425650815045</v>
      </c>
      <c r="N24" s="27">
        <f t="shared" si="9"/>
        <v>3138.4283767210018</v>
      </c>
      <c r="O24" s="27">
        <f t="shared" si="10"/>
        <v>3138.4283767210018</v>
      </c>
    </row>
    <row r="25" spans="1:15" x14ac:dyDescent="0.2">
      <c r="A25" s="25">
        <v>13</v>
      </c>
      <c r="B25" s="26">
        <f>$B$7^(MIN(A25,$B$9)-1)*$B$8^(MAX(A25-$B$9,0))</f>
        <v>16.628648852054795</v>
      </c>
      <c r="C25" s="26">
        <f>$B$8^(A25-1)</f>
        <v>27.982542656501472</v>
      </c>
      <c r="D25" s="34">
        <v>1.1000000000000001</v>
      </c>
      <c r="E25" s="27">
        <f t="shared" si="0"/>
        <v>18987.491679162074</v>
      </c>
      <c r="F25" s="27">
        <f t="shared" si="1"/>
        <v>10356.81364317931</v>
      </c>
      <c r="G25" s="27">
        <f t="shared" si="2"/>
        <v>10356.81364317931</v>
      </c>
      <c r="H25" s="27">
        <f t="shared" si="3"/>
        <v>8630.6780359827608</v>
      </c>
      <c r="I25" s="27">
        <f t="shared" si="4"/>
        <v>8630.6780359827608</v>
      </c>
      <c r="J25" s="27">
        <f t="shared" si="5"/>
        <v>8630.6780359827608</v>
      </c>
      <c r="K25" s="27">
        <f t="shared" si="6"/>
        <v>8630.6780359827608</v>
      </c>
      <c r="L25" s="27">
        <f t="shared" si="7"/>
        <v>6904.5424287862043</v>
      </c>
      <c r="M25" s="27">
        <f t="shared" si="8"/>
        <v>5178.406821589655</v>
      </c>
      <c r="N25" s="27">
        <f t="shared" si="9"/>
        <v>3452.2712143931021</v>
      </c>
      <c r="O25" s="27">
        <f t="shared" si="10"/>
        <v>3452.2712143931021</v>
      </c>
    </row>
    <row r="26" spans="1:15" x14ac:dyDescent="0.2">
      <c r="A26" s="25">
        <v>14</v>
      </c>
      <c r="B26" s="26">
        <f>$B$7^(MIN(A26,$B$9)-1)*$B$8^(MAX(A26-$B$9,0))</f>
        <v>21.949816484712333</v>
      </c>
      <c r="C26" s="26">
        <f>$B$8^(A26-1)</f>
        <v>36.936956306581948</v>
      </c>
      <c r="D26" s="34">
        <v>1.1000000000000001</v>
      </c>
      <c r="E26" s="27">
        <f t="shared" si="0"/>
        <v>20886.240847078283</v>
      </c>
      <c r="F26" s="27">
        <f t="shared" si="1"/>
        <v>11392.495007497242</v>
      </c>
      <c r="G26" s="27">
        <f t="shared" si="2"/>
        <v>11392.495007497242</v>
      </c>
      <c r="H26" s="27">
        <f t="shared" si="3"/>
        <v>9493.7458395810372</v>
      </c>
      <c r="I26" s="27">
        <f t="shared" si="4"/>
        <v>9493.7458395810372</v>
      </c>
      <c r="J26" s="27">
        <f t="shared" si="5"/>
        <v>9493.7458395810372</v>
      </c>
      <c r="K26" s="27">
        <f t="shared" si="6"/>
        <v>9493.7458395810372</v>
      </c>
      <c r="L26" s="27">
        <f t="shared" si="7"/>
        <v>7594.996671664825</v>
      </c>
      <c r="M26" s="27">
        <f t="shared" si="8"/>
        <v>5696.2475037486211</v>
      </c>
      <c r="N26" s="27">
        <f t="shared" si="9"/>
        <v>3797.4983358324125</v>
      </c>
      <c r="O26" s="27">
        <f t="shared" si="10"/>
        <v>3797.4983358324125</v>
      </c>
    </row>
    <row r="27" spans="1:15" x14ac:dyDescent="0.2">
      <c r="A27" s="25">
        <v>15</v>
      </c>
      <c r="B27" s="26">
        <f>$B$7^(MIN(A27,$B$9)-1)*$B$8^(MAX(A27-$B$9,0))</f>
        <v>28.973757759820277</v>
      </c>
      <c r="C27" s="26">
        <f>$B$8^(A27-1)</f>
        <v>48.756782324688174</v>
      </c>
      <c r="D27" s="34">
        <v>1.1000000000000001</v>
      </c>
      <c r="E27" s="27">
        <f t="shared" si="0"/>
        <v>22974.864931786113</v>
      </c>
      <c r="F27" s="27">
        <f t="shared" si="1"/>
        <v>12531.744508246968</v>
      </c>
      <c r="G27" s="27">
        <f t="shared" si="2"/>
        <v>12531.744508246968</v>
      </c>
      <c r="H27" s="27">
        <f t="shared" si="3"/>
        <v>10443.120423539141</v>
      </c>
      <c r="I27" s="27">
        <f t="shared" si="4"/>
        <v>10443.120423539141</v>
      </c>
      <c r="J27" s="27">
        <f t="shared" si="5"/>
        <v>10443.120423539141</v>
      </c>
      <c r="K27" s="27">
        <f t="shared" si="6"/>
        <v>10443.120423539141</v>
      </c>
      <c r="L27" s="27">
        <f t="shared" si="7"/>
        <v>8354.4963388313081</v>
      </c>
      <c r="M27" s="27">
        <f t="shared" si="8"/>
        <v>6265.8722541234838</v>
      </c>
      <c r="N27" s="27">
        <f t="shared" si="9"/>
        <v>4177.248169415654</v>
      </c>
      <c r="O27" s="27">
        <f t="shared" si="10"/>
        <v>4177.248169415654</v>
      </c>
    </row>
    <row r="28" spans="1:15" x14ac:dyDescent="0.2">
      <c r="A28" s="25">
        <v>16</v>
      </c>
      <c r="B28" s="26">
        <f>$B$7^(MIN(A28,$B$9)-1)*$B$8^(MAX(A28-$B$9,0))</f>
        <v>38.245360242962768</v>
      </c>
      <c r="C28" s="26">
        <f>$B$8^(A28-1)</f>
        <v>64.358952668588387</v>
      </c>
      <c r="D28" s="34">
        <v>1.1000000000000001</v>
      </c>
      <c r="E28" s="27">
        <f t="shared" si="0"/>
        <v>25272.351424964727</v>
      </c>
      <c r="F28" s="27">
        <f t="shared" si="1"/>
        <v>13784.918959071665</v>
      </c>
      <c r="G28" s="27">
        <f t="shared" si="2"/>
        <v>13784.918959071665</v>
      </c>
      <c r="H28" s="27">
        <f t="shared" si="3"/>
        <v>11487.432465893056</v>
      </c>
      <c r="I28" s="27">
        <f t="shared" si="4"/>
        <v>11487.432465893056</v>
      </c>
      <c r="J28" s="27">
        <f t="shared" si="5"/>
        <v>11487.432465893056</v>
      </c>
      <c r="K28" s="27">
        <f t="shared" si="6"/>
        <v>11487.432465893056</v>
      </c>
      <c r="L28" s="27">
        <f t="shared" si="7"/>
        <v>9189.9459727144404</v>
      </c>
      <c r="M28" s="27">
        <f t="shared" si="8"/>
        <v>6892.4594795358325</v>
      </c>
      <c r="N28" s="27">
        <f t="shared" si="9"/>
        <v>4594.9729863572202</v>
      </c>
      <c r="O28" s="27">
        <f t="shared" si="10"/>
        <v>4594.9729863572202</v>
      </c>
    </row>
    <row r="29" spans="1:15" x14ac:dyDescent="0.2">
      <c r="A29" s="25">
        <v>17</v>
      </c>
      <c r="B29" s="26">
        <f>$B$7^(MIN(A29,$B$9)-1)*$B$8^(MAX(A29-$B$9,0))</f>
        <v>50.48387552071086</v>
      </c>
      <c r="C29" s="26">
        <f>$B$8^(A29-1)</f>
        <v>84.953817522536681</v>
      </c>
      <c r="D29" s="34">
        <v>1.1000000000000001</v>
      </c>
      <c r="E29" s="27">
        <f t="shared" si="0"/>
        <v>27799.586567461203</v>
      </c>
      <c r="F29" s="27">
        <f t="shared" si="1"/>
        <v>15163.410854978833</v>
      </c>
      <c r="G29" s="27">
        <f t="shared" si="2"/>
        <v>15163.410854978833</v>
      </c>
      <c r="H29" s="27">
        <f t="shared" si="3"/>
        <v>12636.175712482363</v>
      </c>
      <c r="I29" s="27">
        <f t="shared" si="4"/>
        <v>12636.175712482363</v>
      </c>
      <c r="J29" s="27">
        <f t="shared" si="5"/>
        <v>12636.175712482363</v>
      </c>
      <c r="K29" s="27">
        <f t="shared" si="6"/>
        <v>12636.175712482363</v>
      </c>
      <c r="L29" s="27">
        <f t="shared" si="7"/>
        <v>10108.940569985885</v>
      </c>
      <c r="M29" s="27">
        <f t="shared" si="8"/>
        <v>7581.7054274894163</v>
      </c>
      <c r="N29" s="27">
        <f t="shared" si="9"/>
        <v>5054.4702849929427</v>
      </c>
      <c r="O29" s="27">
        <f t="shared" si="10"/>
        <v>5054.4702849929427</v>
      </c>
    </row>
    <row r="30" spans="1:15" x14ac:dyDescent="0.2">
      <c r="A30" s="25">
        <v>18</v>
      </c>
      <c r="B30" s="26">
        <f>$B$7^(MIN(A30,$B$9)-1)*$B$8^(MAX(A30-$B$9,0))</f>
        <v>66.638715687338333</v>
      </c>
      <c r="C30" s="26">
        <f>$B$8^(A30-1)</f>
        <v>112.13903912974843</v>
      </c>
      <c r="D30" s="34">
        <v>1.1000000000000001</v>
      </c>
      <c r="E30" s="27">
        <f t="shared" si="0"/>
        <v>30579.545224207326</v>
      </c>
      <c r="F30" s="27">
        <f t="shared" si="1"/>
        <v>16679.751940476715</v>
      </c>
      <c r="G30" s="27">
        <f t="shared" si="2"/>
        <v>16679.751940476715</v>
      </c>
      <c r="H30" s="27">
        <f t="shared" si="3"/>
        <v>13899.793283730602</v>
      </c>
      <c r="I30" s="27">
        <f t="shared" si="4"/>
        <v>13899.793283730602</v>
      </c>
      <c r="J30" s="27">
        <f t="shared" si="5"/>
        <v>13899.793283730602</v>
      </c>
      <c r="K30" s="27">
        <f t="shared" si="6"/>
        <v>13899.793283730602</v>
      </c>
      <c r="L30" s="27">
        <f t="shared" si="7"/>
        <v>11119.834626984475</v>
      </c>
      <c r="M30" s="27">
        <f t="shared" si="8"/>
        <v>8339.8759702383577</v>
      </c>
      <c r="N30" s="27">
        <f t="shared" si="9"/>
        <v>5559.9173134922376</v>
      </c>
      <c r="O30" s="27">
        <f t="shared" si="10"/>
        <v>5559.9173134922376</v>
      </c>
    </row>
    <row r="31" spans="1:15" x14ac:dyDescent="0.2">
      <c r="A31" s="25">
        <v>19</v>
      </c>
      <c r="B31" s="26">
        <f>$B$7^(MIN(A31,$B$9)-1)*$B$8^(MAX(A31-$B$9,0))</f>
        <v>87.963104707286604</v>
      </c>
      <c r="C31" s="26">
        <f>$B$8^(A31-1)</f>
        <v>148.02353165126792</v>
      </c>
      <c r="D31" s="34">
        <v>1.1000000000000001</v>
      </c>
      <c r="E31" s="27">
        <f t="shared" si="0"/>
        <v>33637.499746628062</v>
      </c>
      <c r="F31" s="27">
        <f t="shared" si="1"/>
        <v>18347.72713452439</v>
      </c>
      <c r="G31" s="27">
        <f t="shared" si="2"/>
        <v>18347.72713452439</v>
      </c>
      <c r="H31" s="27">
        <f t="shared" si="3"/>
        <v>15289.772612103663</v>
      </c>
      <c r="I31" s="27">
        <f t="shared" si="4"/>
        <v>15289.772612103663</v>
      </c>
      <c r="J31" s="27">
        <f t="shared" si="5"/>
        <v>15289.772612103663</v>
      </c>
      <c r="K31" s="27">
        <f t="shared" si="6"/>
        <v>15289.772612103663</v>
      </c>
      <c r="L31" s="27">
        <f t="shared" si="7"/>
        <v>12231.818089682924</v>
      </c>
      <c r="M31" s="27">
        <f t="shared" si="8"/>
        <v>9173.8635672621949</v>
      </c>
      <c r="N31" s="27">
        <f t="shared" si="9"/>
        <v>6115.9090448414618</v>
      </c>
      <c r="O31" s="27">
        <f t="shared" si="10"/>
        <v>6115.9090448414618</v>
      </c>
    </row>
    <row r="32" spans="1:15" x14ac:dyDescent="0.2">
      <c r="A32" s="25">
        <v>20</v>
      </c>
      <c r="B32" s="26">
        <f>$B$7^(MIN(A32,$B$9)-1)*$B$8^(MAX(A32-$B$9,0))</f>
        <v>116.11129821361833</v>
      </c>
      <c r="C32" s="26">
        <f>$B$8^(A32-1)</f>
        <v>195.39106177967366</v>
      </c>
      <c r="D32" s="34">
        <v>1.1000000000000001</v>
      </c>
      <c r="E32" s="27">
        <f t="shared" si="0"/>
        <v>37001.249721290871</v>
      </c>
      <c r="F32" s="27">
        <f t="shared" si="1"/>
        <v>20182.499847976829</v>
      </c>
      <c r="G32" s="27">
        <f t="shared" si="2"/>
        <v>20182.499847976829</v>
      </c>
      <c r="H32" s="27">
        <f t="shared" si="3"/>
        <v>16818.749873314031</v>
      </c>
      <c r="I32" s="27">
        <f t="shared" si="4"/>
        <v>16818.749873314031</v>
      </c>
      <c r="J32" s="27">
        <f t="shared" si="5"/>
        <v>16818.749873314031</v>
      </c>
      <c r="K32" s="27">
        <f t="shared" si="6"/>
        <v>16818.749873314031</v>
      </c>
      <c r="L32" s="27">
        <f t="shared" si="7"/>
        <v>13454.999898651216</v>
      </c>
      <c r="M32" s="27">
        <f t="shared" si="8"/>
        <v>10091.249923988415</v>
      </c>
      <c r="N32" s="27">
        <f t="shared" si="9"/>
        <v>6727.4999493256082</v>
      </c>
      <c r="O32" s="27">
        <f t="shared" si="10"/>
        <v>6727.4999493256082</v>
      </c>
    </row>
    <row r="33" spans="1:15" x14ac:dyDescent="0.2">
      <c r="A33" s="25">
        <v>21</v>
      </c>
      <c r="B33" s="26">
        <f>$B$7^(MIN(A33,$B$9)-1)*$B$8^(MAX(A33-$B$9,0))</f>
        <v>153.2669136419762</v>
      </c>
      <c r="C33" s="26">
        <f>$B$8^(A33-1)</f>
        <v>257.91620154916927</v>
      </c>
      <c r="D33" s="34">
        <v>1.1000000000000001</v>
      </c>
      <c r="E33" s="27">
        <f t="shared" si="0"/>
        <v>40701.374693419959</v>
      </c>
      <c r="F33" s="27">
        <f t="shared" si="1"/>
        <v>22200.749832774512</v>
      </c>
      <c r="G33" s="27">
        <f t="shared" si="2"/>
        <v>22200.749832774512</v>
      </c>
      <c r="H33" s="27">
        <f t="shared" si="3"/>
        <v>18500.624860645436</v>
      </c>
      <c r="I33" s="27">
        <f t="shared" si="4"/>
        <v>18500.624860645436</v>
      </c>
      <c r="J33" s="27">
        <f t="shared" si="5"/>
        <v>18500.624860645436</v>
      </c>
      <c r="K33" s="27">
        <f t="shared" si="6"/>
        <v>18500.624860645436</v>
      </c>
      <c r="L33" s="27">
        <f t="shared" si="7"/>
        <v>14800.499888516339</v>
      </c>
      <c r="M33" s="27">
        <f t="shared" si="8"/>
        <v>11100.374916387256</v>
      </c>
      <c r="N33" s="27">
        <f t="shared" si="9"/>
        <v>7400.2499442581693</v>
      </c>
      <c r="O33" s="27">
        <f t="shared" si="10"/>
        <v>7400.2499442581693</v>
      </c>
    </row>
    <row r="34" spans="1:15" x14ac:dyDescent="0.2">
      <c r="A34" s="25">
        <v>22</v>
      </c>
      <c r="B34" s="26">
        <f>$B$7^(MIN(A34,$B$9)-1)*$B$8^(MAX(A34-$B$9,0))</f>
        <v>202.31232600740859</v>
      </c>
      <c r="C34" s="26">
        <f>$B$8^(A34-1)</f>
        <v>340.44938604490346</v>
      </c>
      <c r="D34" s="34">
        <v>1.1000000000000001</v>
      </c>
      <c r="E34" s="27">
        <f t="shared" si="0"/>
        <v>44771.512162761959</v>
      </c>
      <c r="F34" s="27">
        <f t="shared" si="1"/>
        <v>24420.824816051965</v>
      </c>
      <c r="G34" s="27">
        <f t="shared" si="2"/>
        <v>24420.824816051965</v>
      </c>
      <c r="H34" s="27">
        <f t="shared" si="3"/>
        <v>20350.687346709979</v>
      </c>
      <c r="I34" s="27">
        <f t="shared" si="4"/>
        <v>20350.687346709979</v>
      </c>
      <c r="J34" s="27">
        <f t="shared" si="5"/>
        <v>20350.687346709979</v>
      </c>
      <c r="K34" s="27">
        <f t="shared" si="6"/>
        <v>20350.687346709979</v>
      </c>
      <c r="L34" s="27">
        <f t="shared" si="7"/>
        <v>16280.549877367974</v>
      </c>
      <c r="M34" s="27">
        <f t="shared" si="8"/>
        <v>12210.412408025983</v>
      </c>
      <c r="N34" s="27">
        <f t="shared" si="9"/>
        <v>8140.2749386839869</v>
      </c>
      <c r="O34" s="27">
        <f t="shared" si="10"/>
        <v>8140.2749386839869</v>
      </c>
    </row>
    <row r="35" spans="1:15" x14ac:dyDescent="0.2">
      <c r="A35" s="25">
        <v>23</v>
      </c>
      <c r="B35" s="26">
        <f>$B$7^(MIN(A35,$B$9)-1)*$B$8^(MAX(A35-$B$9,0))</f>
        <v>267.05227032977933</v>
      </c>
      <c r="C35" s="26">
        <f>$B$8^(A35-1)</f>
        <v>449.39318957927259</v>
      </c>
      <c r="D35" s="34">
        <v>1.1000000000000001</v>
      </c>
      <c r="E35" s="27">
        <f t="shared" si="0"/>
        <v>49248.66337903816</v>
      </c>
      <c r="F35" s="27">
        <f t="shared" si="1"/>
        <v>26862.907297657162</v>
      </c>
      <c r="G35" s="27">
        <f t="shared" si="2"/>
        <v>26862.907297657162</v>
      </c>
      <c r="H35" s="27">
        <f t="shared" si="3"/>
        <v>22385.75608138098</v>
      </c>
      <c r="I35" s="27">
        <f t="shared" si="4"/>
        <v>22385.75608138098</v>
      </c>
      <c r="J35" s="27">
        <f t="shared" si="5"/>
        <v>22385.75608138098</v>
      </c>
      <c r="K35" s="27">
        <f t="shared" si="6"/>
        <v>22385.75608138098</v>
      </c>
      <c r="L35" s="27">
        <f t="shared" si="7"/>
        <v>17908.604865104771</v>
      </c>
      <c r="M35" s="27">
        <f t="shared" si="8"/>
        <v>13431.453648828581</v>
      </c>
      <c r="N35" s="27">
        <f t="shared" si="9"/>
        <v>8954.3024325523857</v>
      </c>
      <c r="O35" s="27">
        <f t="shared" si="10"/>
        <v>8954.3024325523857</v>
      </c>
    </row>
    <row r="36" spans="1:15" x14ac:dyDescent="0.2">
      <c r="A36" s="25">
        <v>24</v>
      </c>
      <c r="B36" s="26">
        <f>$B$7^(MIN(A36,$B$9)-1)*$B$8^(MAX(A36-$B$9,0))</f>
        <v>352.50899683530872</v>
      </c>
      <c r="C36" s="26">
        <f>$B$8^(A36-1)</f>
        <v>593.19901024463979</v>
      </c>
      <c r="D36" s="34">
        <v>1.1000000000000001</v>
      </c>
      <c r="E36" s="27">
        <f t="shared" si="0"/>
        <v>54173.529716941979</v>
      </c>
      <c r="F36" s="27">
        <f t="shared" si="1"/>
        <v>29549.198027422881</v>
      </c>
      <c r="G36" s="27">
        <f t="shared" si="2"/>
        <v>29549.198027422881</v>
      </c>
      <c r="H36" s="27">
        <f t="shared" si="3"/>
        <v>24624.33168951908</v>
      </c>
      <c r="I36" s="27">
        <f t="shared" si="4"/>
        <v>24624.33168951908</v>
      </c>
      <c r="J36" s="27">
        <f t="shared" si="5"/>
        <v>24624.33168951908</v>
      </c>
      <c r="K36" s="27">
        <f t="shared" si="6"/>
        <v>24624.33168951908</v>
      </c>
      <c r="L36" s="27">
        <f t="shared" si="7"/>
        <v>19699.46535161525</v>
      </c>
      <c r="M36" s="27">
        <f t="shared" si="8"/>
        <v>14774.59901371144</v>
      </c>
      <c r="N36" s="27">
        <f t="shared" si="9"/>
        <v>9849.7326758076251</v>
      </c>
      <c r="O36" s="27">
        <f t="shared" si="10"/>
        <v>9849.7326758076251</v>
      </c>
    </row>
    <row r="37" spans="1:15" x14ac:dyDescent="0.2">
      <c r="A37" s="25">
        <v>25</v>
      </c>
      <c r="B37" s="26">
        <f>$B$7^(MIN(A37,$B$9)-1)*$B$8^(MAX(A37-$B$9,0))</f>
        <v>465.31187582260759</v>
      </c>
      <c r="C37" s="26">
        <f>$B$8^(A37-1)</f>
        <v>783.02269352292456</v>
      </c>
      <c r="D37" s="34">
        <v>1.1000000000000001</v>
      </c>
      <c r="E37" s="27">
        <f t="shared" si="0"/>
        <v>59590.882688636179</v>
      </c>
      <c r="F37" s="27">
        <f t="shared" si="1"/>
        <v>32504.117830165171</v>
      </c>
      <c r="G37" s="27">
        <f t="shared" si="2"/>
        <v>32504.117830165171</v>
      </c>
      <c r="H37" s="27">
        <f t="shared" si="3"/>
        <v>27086.76485847099</v>
      </c>
      <c r="I37" s="27">
        <f t="shared" si="4"/>
        <v>27086.76485847099</v>
      </c>
      <c r="J37" s="27">
        <f t="shared" si="5"/>
        <v>27086.76485847099</v>
      </c>
      <c r="K37" s="27">
        <f t="shared" si="6"/>
        <v>27086.76485847099</v>
      </c>
      <c r="L37" s="27">
        <f t="shared" si="7"/>
        <v>21669.411886776776</v>
      </c>
      <c r="M37" s="27">
        <f t="shared" si="8"/>
        <v>16252.058915082585</v>
      </c>
      <c r="N37" s="27">
        <f t="shared" si="9"/>
        <v>10834.705943388388</v>
      </c>
      <c r="O37" s="27">
        <f t="shared" si="10"/>
        <v>10834.705943388388</v>
      </c>
    </row>
    <row r="38" spans="1:15" x14ac:dyDescent="0.2">
      <c r="A38" s="25">
        <v>26</v>
      </c>
      <c r="B38" s="26">
        <f>$B$7^(MIN(A38,$B$9)-1)*$B$8^(MAX(A38-$B$9,0))</f>
        <v>614.2116760858421</v>
      </c>
      <c r="C38" s="26">
        <f>$B$8^(A38-1)</f>
        <v>1033.5899554502605</v>
      </c>
      <c r="D38" s="34">
        <v>1.1000000000000001</v>
      </c>
      <c r="E38" s="27">
        <f t="shared" si="0"/>
        <v>65549.970957499798</v>
      </c>
      <c r="F38" s="27">
        <f t="shared" si="1"/>
        <v>35754.529613181694</v>
      </c>
      <c r="G38" s="27">
        <f t="shared" si="2"/>
        <v>35754.529613181694</v>
      </c>
      <c r="H38" s="27">
        <f t="shared" si="3"/>
        <v>29795.441344318089</v>
      </c>
      <c r="I38" s="27">
        <f t="shared" si="4"/>
        <v>29795.441344318089</v>
      </c>
      <c r="J38" s="27">
        <f t="shared" si="5"/>
        <v>29795.441344318089</v>
      </c>
      <c r="K38" s="27">
        <f t="shared" si="6"/>
        <v>29795.441344318089</v>
      </c>
      <c r="L38" s="27">
        <f t="shared" si="7"/>
        <v>23836.353075454455</v>
      </c>
      <c r="M38" s="27">
        <f t="shared" si="8"/>
        <v>17877.264806590847</v>
      </c>
      <c r="N38" s="27">
        <f t="shared" si="9"/>
        <v>11918.176537727228</v>
      </c>
      <c r="O38" s="27">
        <f t="shared" si="10"/>
        <v>11918.176537727228</v>
      </c>
    </row>
    <row r="39" spans="1:15" x14ac:dyDescent="0.2">
      <c r="A39" s="25">
        <v>27</v>
      </c>
      <c r="B39" s="26">
        <f>$B$7^(MIN(A39,$B$9)-1)*$B$8^(MAX(A39-$B$9,0))</f>
        <v>810.75941243331147</v>
      </c>
      <c r="C39" s="26">
        <f>$B$8^(A39-1)</f>
        <v>1364.3387411943438</v>
      </c>
      <c r="D39" s="34">
        <v>1.1000000000000001</v>
      </c>
      <c r="E39" s="27">
        <f t="shared" si="0"/>
        <v>72104.968053249788</v>
      </c>
      <c r="F39" s="27">
        <f t="shared" si="1"/>
        <v>39329.982574499867</v>
      </c>
      <c r="G39" s="27">
        <f t="shared" si="2"/>
        <v>39329.982574499867</v>
      </c>
      <c r="H39" s="27">
        <f t="shared" si="3"/>
        <v>32774.985478749899</v>
      </c>
      <c r="I39" s="27">
        <f t="shared" si="4"/>
        <v>32774.985478749899</v>
      </c>
      <c r="J39" s="27">
        <f t="shared" si="5"/>
        <v>32774.985478749899</v>
      </c>
      <c r="K39" s="27">
        <f t="shared" si="6"/>
        <v>32774.985478749899</v>
      </c>
      <c r="L39" s="27">
        <f t="shared" si="7"/>
        <v>26219.988382999902</v>
      </c>
      <c r="M39" s="27">
        <f t="shared" si="8"/>
        <v>19664.991287249934</v>
      </c>
      <c r="N39" s="27">
        <f t="shared" si="9"/>
        <v>13109.994191499951</v>
      </c>
      <c r="O39" s="27">
        <f t="shared" si="10"/>
        <v>13109.994191499951</v>
      </c>
    </row>
    <row r="40" spans="1:15" x14ac:dyDescent="0.2">
      <c r="A40" s="25">
        <v>28</v>
      </c>
      <c r="B40" s="26">
        <f>$B$7^(MIN(A40,$B$9)-1)*$B$8^(MAX(A40-$B$9,0))</f>
        <v>1070.2024244119714</v>
      </c>
      <c r="C40" s="26">
        <f>$B$8^(A40-1)</f>
        <v>1800.927138376534</v>
      </c>
      <c r="D40" s="34">
        <v>1.1000000000000001</v>
      </c>
      <c r="E40" s="27">
        <f t="shared" si="0"/>
        <v>79315.464858574778</v>
      </c>
      <c r="F40" s="27">
        <f t="shared" si="1"/>
        <v>43262.980831949855</v>
      </c>
      <c r="G40" s="27">
        <f t="shared" si="2"/>
        <v>43262.980831949855</v>
      </c>
      <c r="H40" s="27">
        <f t="shared" si="3"/>
        <v>36052.484026624894</v>
      </c>
      <c r="I40" s="27">
        <f t="shared" si="4"/>
        <v>36052.484026624894</v>
      </c>
      <c r="J40" s="27">
        <f t="shared" si="5"/>
        <v>36052.484026624894</v>
      </c>
      <c r="K40" s="27">
        <f t="shared" si="6"/>
        <v>36052.484026624894</v>
      </c>
      <c r="L40" s="27">
        <f t="shared" si="7"/>
        <v>28841.987221299893</v>
      </c>
      <c r="M40" s="27">
        <f t="shared" si="8"/>
        <v>21631.490415974928</v>
      </c>
      <c r="N40" s="27">
        <f t="shared" si="9"/>
        <v>14420.993610649946</v>
      </c>
      <c r="O40" s="27">
        <f t="shared" si="10"/>
        <v>14420.993610649946</v>
      </c>
    </row>
    <row r="41" spans="1:15" x14ac:dyDescent="0.2">
      <c r="A41" s="25">
        <v>29</v>
      </c>
      <c r="B41" s="26">
        <f>$B$7^(MIN(A41,$B$9)-1)*$B$8^(MAX(A41-$B$9,0))</f>
        <v>1412.6672002238022</v>
      </c>
      <c r="C41" s="26">
        <f>$B$8^(A41-1)</f>
        <v>2377.2238226570248</v>
      </c>
      <c r="D41" s="34">
        <v>1.1000000000000001</v>
      </c>
      <c r="E41" s="27">
        <f t="shared" si="0"/>
        <v>87247.011344432263</v>
      </c>
      <c r="F41" s="27">
        <f t="shared" si="1"/>
        <v>47589.278915144845</v>
      </c>
      <c r="G41" s="27">
        <f t="shared" si="2"/>
        <v>47589.278915144845</v>
      </c>
      <c r="H41" s="27">
        <f t="shared" si="3"/>
        <v>39657.732429287389</v>
      </c>
      <c r="I41" s="27">
        <f t="shared" si="4"/>
        <v>39657.732429287389</v>
      </c>
      <c r="J41" s="27">
        <f t="shared" si="5"/>
        <v>39657.732429287389</v>
      </c>
      <c r="K41" s="27">
        <f t="shared" si="6"/>
        <v>39657.732429287389</v>
      </c>
      <c r="L41" s="27">
        <f t="shared" si="7"/>
        <v>31726.185943429886</v>
      </c>
      <c r="M41" s="27">
        <f t="shared" si="8"/>
        <v>23794.639457572423</v>
      </c>
      <c r="N41" s="27">
        <f t="shared" si="9"/>
        <v>15863.092971714943</v>
      </c>
      <c r="O41" s="27">
        <f t="shared" si="10"/>
        <v>15863.092971714943</v>
      </c>
    </row>
    <row r="42" spans="1:15" x14ac:dyDescent="0.2">
      <c r="A42" s="25">
        <v>30</v>
      </c>
      <c r="B42" s="26">
        <f>$B$7^(MIN(A42,$B$9)-1)*$B$8^(MAX(A42-$B$9,0))</f>
        <v>1864.7207042954187</v>
      </c>
      <c r="C42" s="26">
        <f>$B$8^(A42-1)</f>
        <v>3137.9354459072733</v>
      </c>
      <c r="D42" s="34">
        <v>1.1000000000000001</v>
      </c>
      <c r="E42" s="27">
        <f t="shared" si="0"/>
        <v>95971.712478875503</v>
      </c>
      <c r="F42" s="27">
        <f t="shared" si="1"/>
        <v>52348.206806659335</v>
      </c>
      <c r="G42" s="27">
        <f t="shared" si="2"/>
        <v>52348.206806659335</v>
      </c>
      <c r="H42" s="27">
        <f t="shared" si="3"/>
        <v>43623.505672216132</v>
      </c>
      <c r="I42" s="27">
        <f t="shared" si="4"/>
        <v>43623.505672216132</v>
      </c>
      <c r="J42" s="27">
        <f t="shared" si="5"/>
        <v>43623.505672216132</v>
      </c>
      <c r="K42" s="27">
        <f t="shared" si="6"/>
        <v>43623.505672216132</v>
      </c>
      <c r="L42" s="27">
        <f t="shared" si="7"/>
        <v>34898.804537772878</v>
      </c>
      <c r="M42" s="27">
        <f t="shared" si="8"/>
        <v>26174.103403329667</v>
      </c>
      <c r="N42" s="27">
        <f t="shared" si="9"/>
        <v>17449.402268886439</v>
      </c>
      <c r="O42" s="27">
        <f t="shared" si="10"/>
        <v>17449.402268886439</v>
      </c>
    </row>
    <row r="43" spans="1:15" x14ac:dyDescent="0.2">
      <c r="A43" s="25">
        <v>31</v>
      </c>
      <c r="B43" s="26">
        <f>$B$7^(MIN(A43,$B$9)-1)*$B$8^(MAX(A43-$B$9,0))</f>
        <v>2461.4313296699529</v>
      </c>
      <c r="C43" s="26">
        <f>$B$8^(A43-1)</f>
        <v>4142.0747885976007</v>
      </c>
      <c r="D43" s="34">
        <v>1.1000000000000001</v>
      </c>
      <c r="E43" s="27">
        <f t="shared" si="0"/>
        <v>105568.88372676306</v>
      </c>
      <c r="F43" s="27">
        <f t="shared" si="1"/>
        <v>57583.027487325271</v>
      </c>
      <c r="G43" s="27">
        <f t="shared" si="2"/>
        <v>57583.027487325271</v>
      </c>
      <c r="H43" s="27">
        <f t="shared" si="3"/>
        <v>47985.856239437751</v>
      </c>
      <c r="I43" s="27">
        <f t="shared" si="4"/>
        <v>47985.856239437751</v>
      </c>
      <c r="J43" s="27">
        <f t="shared" si="5"/>
        <v>47985.856239437751</v>
      </c>
      <c r="K43" s="27">
        <f t="shared" si="6"/>
        <v>47985.856239437751</v>
      </c>
      <c r="L43" s="27">
        <f t="shared" si="7"/>
        <v>38388.684991550166</v>
      </c>
      <c r="M43" s="27">
        <f t="shared" si="8"/>
        <v>28791.513743662636</v>
      </c>
      <c r="N43" s="27">
        <f t="shared" si="9"/>
        <v>19194.342495775083</v>
      </c>
      <c r="O43" s="27">
        <f t="shared" si="10"/>
        <v>19194.342495775083</v>
      </c>
    </row>
    <row r="44" spans="1:15" x14ac:dyDescent="0.2">
      <c r="A44" s="25">
        <v>32</v>
      </c>
      <c r="B44" s="26">
        <f>$B$7^(MIN(A44,$B$9)-1)*$B$8^(MAX(A44-$B$9,0))</f>
        <v>3249.0893551643385</v>
      </c>
      <c r="C44" s="26">
        <f>$B$8^(A44-1)</f>
        <v>5467.5387209488326</v>
      </c>
      <c r="D44" s="34">
        <v>1.1000000000000001</v>
      </c>
      <c r="E44" s="27">
        <f t="shared" si="0"/>
        <v>116125.77209943937</v>
      </c>
      <c r="F44" s="27">
        <f t="shared" si="1"/>
        <v>63341.330236057802</v>
      </c>
      <c r="G44" s="27">
        <f t="shared" si="2"/>
        <v>63341.330236057802</v>
      </c>
      <c r="H44" s="27">
        <f t="shared" si="3"/>
        <v>52784.441863381529</v>
      </c>
      <c r="I44" s="27">
        <f t="shared" si="4"/>
        <v>52784.441863381529</v>
      </c>
      <c r="J44" s="27">
        <f t="shared" si="5"/>
        <v>52784.441863381529</v>
      </c>
      <c r="K44" s="27">
        <f t="shared" si="6"/>
        <v>52784.441863381529</v>
      </c>
      <c r="L44" s="27">
        <f t="shared" si="7"/>
        <v>42227.553490705184</v>
      </c>
      <c r="M44" s="27">
        <f t="shared" si="8"/>
        <v>31670.665118028901</v>
      </c>
      <c r="N44" s="27">
        <f t="shared" si="9"/>
        <v>21113.776745352592</v>
      </c>
      <c r="O44" s="27">
        <f t="shared" si="10"/>
        <v>21113.776745352592</v>
      </c>
    </row>
    <row r="45" spans="1:15" x14ac:dyDescent="0.2">
      <c r="A45" s="25">
        <v>33</v>
      </c>
      <c r="B45" s="26">
        <f>$B$7^(MIN(A45,$B$9)-1)*$B$8^(MAX(A45-$B$9,0))</f>
        <v>4288.7979488169267</v>
      </c>
      <c r="C45" s="26">
        <f>$B$8^(A45-1)</f>
        <v>7217.1511116524607</v>
      </c>
      <c r="D45" s="34">
        <v>1.1000000000000001</v>
      </c>
      <c r="E45" s="27">
        <f t="shared" si="0"/>
        <v>127738.34930938332</v>
      </c>
      <c r="F45" s="27">
        <f t="shared" si="1"/>
        <v>69675.463259663593</v>
      </c>
      <c r="G45" s="27">
        <f t="shared" si="2"/>
        <v>69675.463259663593</v>
      </c>
      <c r="H45" s="27">
        <f t="shared" si="3"/>
        <v>58062.886049719687</v>
      </c>
      <c r="I45" s="27">
        <f t="shared" si="4"/>
        <v>58062.886049719687</v>
      </c>
      <c r="J45" s="27">
        <f t="shared" si="5"/>
        <v>58062.886049719687</v>
      </c>
      <c r="K45" s="27">
        <f t="shared" si="6"/>
        <v>58062.886049719687</v>
      </c>
      <c r="L45" s="27">
        <f t="shared" si="7"/>
        <v>46450.308839775709</v>
      </c>
      <c r="M45" s="27">
        <f t="shared" si="8"/>
        <v>34837.731629831796</v>
      </c>
      <c r="N45" s="27">
        <f t="shared" si="9"/>
        <v>23225.154419887855</v>
      </c>
      <c r="O45" s="27">
        <f t="shared" si="10"/>
        <v>23225.154419887855</v>
      </c>
    </row>
    <row r="46" spans="1:15" x14ac:dyDescent="0.2">
      <c r="A46" s="25">
        <v>34</v>
      </c>
      <c r="B46" s="26">
        <f>$B$7^(MIN(A46,$B$9)-1)*$B$8^(MAX(A46-$B$9,0))</f>
        <v>5661.2132924383441</v>
      </c>
      <c r="C46" s="26">
        <f>$B$8^(A46-1)</f>
        <v>9526.6394673812483</v>
      </c>
      <c r="D46" s="34">
        <v>1.1000000000000001</v>
      </c>
      <c r="E46" s="27">
        <f t="shared" si="0"/>
        <v>140512.18424032166</v>
      </c>
      <c r="F46" s="27">
        <f t="shared" si="1"/>
        <v>76643.009585629959</v>
      </c>
      <c r="G46" s="27">
        <f t="shared" si="2"/>
        <v>76643.009585629959</v>
      </c>
      <c r="H46" s="27">
        <f t="shared" si="3"/>
        <v>63869.174654691662</v>
      </c>
      <c r="I46" s="27">
        <f t="shared" si="4"/>
        <v>63869.174654691662</v>
      </c>
      <c r="J46" s="27">
        <f t="shared" si="5"/>
        <v>63869.174654691662</v>
      </c>
      <c r="K46" s="27">
        <f t="shared" si="6"/>
        <v>63869.174654691662</v>
      </c>
      <c r="L46" s="27">
        <f t="shared" si="7"/>
        <v>51095.339723753284</v>
      </c>
      <c r="M46" s="27">
        <f t="shared" si="8"/>
        <v>38321.50479281498</v>
      </c>
      <c r="N46" s="27">
        <f t="shared" si="9"/>
        <v>25547.669861876642</v>
      </c>
      <c r="O46" s="27">
        <f t="shared" si="10"/>
        <v>25547.669861876642</v>
      </c>
    </row>
    <row r="47" spans="1:15" x14ac:dyDescent="0.2">
      <c r="A47" s="25">
        <v>35</v>
      </c>
      <c r="B47" s="26">
        <f>$B$7^(MIN(A47,$B$9)-1)*$B$8^(MAX(A47-$B$9,0))</f>
        <v>7472.8015460186134</v>
      </c>
      <c r="C47" s="26">
        <f>$B$8^(A47-1)</f>
        <v>12575.164096943248</v>
      </c>
      <c r="D47" s="34">
        <v>1.1000000000000001</v>
      </c>
      <c r="E47" s="27">
        <f t="shared" si="0"/>
        <v>154563.40266435384</v>
      </c>
      <c r="F47" s="27">
        <f t="shared" si="1"/>
        <v>84307.310544192966</v>
      </c>
      <c r="G47" s="27">
        <f t="shared" si="2"/>
        <v>84307.310544192966</v>
      </c>
      <c r="H47" s="27">
        <f t="shared" si="3"/>
        <v>70256.092120160829</v>
      </c>
      <c r="I47" s="27">
        <f t="shared" si="4"/>
        <v>70256.092120160829</v>
      </c>
      <c r="J47" s="27">
        <f t="shared" si="5"/>
        <v>70256.092120160829</v>
      </c>
      <c r="K47" s="27">
        <f t="shared" si="6"/>
        <v>70256.092120160829</v>
      </c>
      <c r="L47" s="27">
        <f t="shared" si="7"/>
        <v>56204.873696128619</v>
      </c>
      <c r="M47" s="27">
        <f t="shared" si="8"/>
        <v>42153.655272096483</v>
      </c>
      <c r="N47" s="27">
        <f t="shared" si="9"/>
        <v>28102.43684806431</v>
      </c>
      <c r="O47" s="27">
        <f t="shared" si="10"/>
        <v>28102.43684806431</v>
      </c>
    </row>
    <row r="48" spans="1:15" x14ac:dyDescent="0.2">
      <c r="A48" s="25">
        <v>36</v>
      </c>
      <c r="B48" s="26">
        <f>$B$7^(MIN(A48,$B$9)-1)*$B$8^(MAX(A48-$B$9,0))</f>
        <v>9864.0980407445695</v>
      </c>
      <c r="C48" s="26">
        <f>$B$8^(A48-1)</f>
        <v>16599.216607965089</v>
      </c>
      <c r="D48" s="34">
        <v>1.1000000000000001</v>
      </c>
      <c r="E48" s="27">
        <f t="shared" si="0"/>
        <v>170019.74293078925</v>
      </c>
      <c r="F48" s="27">
        <f t="shared" si="1"/>
        <v>92738.041598612268</v>
      </c>
      <c r="G48" s="27">
        <f t="shared" si="2"/>
        <v>92738.041598612268</v>
      </c>
      <c r="H48" s="27">
        <f t="shared" si="3"/>
        <v>77281.701332176919</v>
      </c>
      <c r="I48" s="27">
        <f t="shared" si="4"/>
        <v>77281.701332176919</v>
      </c>
      <c r="J48" s="27">
        <f t="shared" si="5"/>
        <v>77281.701332176919</v>
      </c>
      <c r="K48" s="27">
        <f t="shared" si="6"/>
        <v>77281.701332176919</v>
      </c>
      <c r="L48" s="27">
        <f t="shared" si="7"/>
        <v>61825.361065741483</v>
      </c>
      <c r="M48" s="27">
        <f t="shared" si="8"/>
        <v>46369.020799306134</v>
      </c>
      <c r="N48" s="27">
        <f t="shared" si="9"/>
        <v>30912.680532870741</v>
      </c>
      <c r="O48" s="27">
        <f t="shared" si="10"/>
        <v>30912.680532870741</v>
      </c>
    </row>
    <row r="49" spans="1:15" x14ac:dyDescent="0.2">
      <c r="A49" s="25">
        <v>37</v>
      </c>
      <c r="B49" s="26">
        <f>$B$7^(MIN(A49,$B$9)-1)*$B$8^(MAX(A49-$B$9,0))</f>
        <v>13020.609413782833</v>
      </c>
      <c r="C49" s="26">
        <f>$B$8^(A49-1)</f>
        <v>21910.965922513918</v>
      </c>
      <c r="D49" s="34">
        <v>1.1000000000000001</v>
      </c>
      <c r="E49" s="27">
        <f t="shared" si="0"/>
        <v>187021.71722386818</v>
      </c>
      <c r="F49" s="27">
        <f t="shared" si="1"/>
        <v>102011.8457584735</v>
      </c>
      <c r="G49" s="27">
        <f t="shared" si="2"/>
        <v>102011.8457584735</v>
      </c>
      <c r="H49" s="27">
        <f t="shared" si="3"/>
        <v>85009.871465394623</v>
      </c>
      <c r="I49" s="27">
        <f t="shared" si="4"/>
        <v>85009.871465394623</v>
      </c>
      <c r="J49" s="27">
        <f t="shared" si="5"/>
        <v>85009.871465394623</v>
      </c>
      <c r="K49" s="27">
        <f t="shared" si="6"/>
        <v>85009.871465394623</v>
      </c>
      <c r="L49" s="27">
        <f t="shared" si="7"/>
        <v>68007.897172315643</v>
      </c>
      <c r="M49" s="27">
        <f t="shared" si="8"/>
        <v>51005.92287923675</v>
      </c>
      <c r="N49" s="27">
        <f t="shared" si="9"/>
        <v>34003.948586157821</v>
      </c>
      <c r="O49" s="27">
        <f t="shared" si="10"/>
        <v>34003.948586157821</v>
      </c>
    </row>
    <row r="50" spans="1:15" x14ac:dyDescent="0.2">
      <c r="A50" s="25">
        <v>38</v>
      </c>
      <c r="B50" s="26">
        <f>$B$7^(MIN(A50,$B$9)-1)*$B$8^(MAX(A50-$B$9,0))</f>
        <v>17187.204426193341</v>
      </c>
      <c r="C50" s="26">
        <f>$B$8^(A50-1)</f>
        <v>28922.475017718374</v>
      </c>
      <c r="D50" s="34">
        <v>1.1000000000000001</v>
      </c>
      <c r="E50" s="27">
        <f t="shared" si="0"/>
        <v>205723.88894625503</v>
      </c>
      <c r="F50" s="27">
        <f t="shared" si="1"/>
        <v>112213.03033432087</v>
      </c>
      <c r="G50" s="27">
        <f t="shared" si="2"/>
        <v>112213.03033432087</v>
      </c>
      <c r="H50" s="27">
        <f t="shared" si="3"/>
        <v>93510.858611934091</v>
      </c>
      <c r="I50" s="27">
        <f t="shared" si="4"/>
        <v>93510.858611934091</v>
      </c>
      <c r="J50" s="27">
        <f t="shared" si="5"/>
        <v>93510.858611934091</v>
      </c>
      <c r="K50" s="27">
        <f t="shared" si="6"/>
        <v>93510.858611934091</v>
      </c>
      <c r="L50" s="27">
        <f t="shared" si="7"/>
        <v>74808.686889547214</v>
      </c>
      <c r="M50" s="27">
        <f t="shared" si="8"/>
        <v>56106.515167160433</v>
      </c>
      <c r="N50" s="27">
        <f t="shared" si="9"/>
        <v>37404.343444773607</v>
      </c>
      <c r="O50" s="27">
        <f t="shared" si="10"/>
        <v>37404.343444773607</v>
      </c>
    </row>
    <row r="51" spans="1:15" x14ac:dyDescent="0.2">
      <c r="A51" s="25">
        <v>39</v>
      </c>
      <c r="B51" s="26">
        <f>$B$7^(MIN(A51,$B$9)-1)*$B$8^(MAX(A51-$B$9,0))</f>
        <v>22687.10984257521</v>
      </c>
      <c r="C51" s="26">
        <f>$B$8^(A51-1)</f>
        <v>38177.667023388254</v>
      </c>
      <c r="D51" s="34">
        <v>1.1000000000000001</v>
      </c>
      <c r="E51" s="27">
        <f t="shared" si="0"/>
        <v>226296.27784088056</v>
      </c>
      <c r="F51" s="27">
        <f t="shared" si="1"/>
        <v>123434.33336775296</v>
      </c>
      <c r="G51" s="27">
        <f t="shared" si="2"/>
        <v>123434.33336775296</v>
      </c>
      <c r="H51" s="27">
        <f t="shared" si="3"/>
        <v>102861.94447312751</v>
      </c>
      <c r="I51" s="27">
        <f t="shared" si="4"/>
        <v>102861.94447312751</v>
      </c>
      <c r="J51" s="27">
        <f t="shared" si="5"/>
        <v>102861.94447312751</v>
      </c>
      <c r="K51" s="27">
        <f t="shared" si="6"/>
        <v>102861.94447312751</v>
      </c>
      <c r="L51" s="27">
        <f t="shared" si="7"/>
        <v>82289.555578501939</v>
      </c>
      <c r="M51" s="27">
        <f t="shared" si="8"/>
        <v>61717.16668387648</v>
      </c>
      <c r="N51" s="27">
        <f t="shared" si="9"/>
        <v>41144.777789250969</v>
      </c>
      <c r="O51" s="27">
        <f t="shared" si="10"/>
        <v>41144.777789250969</v>
      </c>
    </row>
    <row r="52" spans="1:15" x14ac:dyDescent="0.2">
      <c r="A52" s="25">
        <v>40</v>
      </c>
      <c r="B52" s="26">
        <f>$B$7^(MIN(A52,$B$9)-1)*$B$8^(MAX(A52-$B$9,0))</f>
        <v>29946.984992199279</v>
      </c>
      <c r="C52" s="26">
        <f>$B$8^(A52-1)</f>
        <v>50394.520470872492</v>
      </c>
      <c r="D52" s="34">
        <v>1.1000000000000001</v>
      </c>
      <c r="E52" s="27">
        <f t="shared" si="0"/>
        <v>248925.90562496864</v>
      </c>
      <c r="F52" s="27">
        <f t="shared" si="1"/>
        <v>135777.76670452827</v>
      </c>
      <c r="G52" s="27">
        <f t="shared" si="2"/>
        <v>135777.76670452827</v>
      </c>
      <c r="H52" s="27">
        <f t="shared" si="3"/>
        <v>113148.13892044028</v>
      </c>
      <c r="I52" s="27">
        <f t="shared" si="4"/>
        <v>113148.13892044028</v>
      </c>
      <c r="J52" s="27">
        <f t="shared" si="5"/>
        <v>113148.13892044028</v>
      </c>
      <c r="K52" s="27">
        <f t="shared" si="6"/>
        <v>113148.13892044028</v>
      </c>
      <c r="L52" s="27">
        <f t="shared" si="7"/>
        <v>90518.511136352143</v>
      </c>
      <c r="M52" s="27">
        <f t="shared" si="8"/>
        <v>67888.883352264136</v>
      </c>
      <c r="N52" s="27">
        <f t="shared" si="9"/>
        <v>45259.255568176071</v>
      </c>
      <c r="O52" s="27">
        <f t="shared" si="10"/>
        <v>45259.255568176071</v>
      </c>
    </row>
    <row r="53" spans="1:15" x14ac:dyDescent="0.2">
      <c r="A53" s="25">
        <v>41</v>
      </c>
      <c r="B53" s="26">
        <f>$B$7^(MIN(A53,$B$9)-1)*$B$8^(MAX(A53-$B$9,0))</f>
        <v>39530.020189703057</v>
      </c>
      <c r="C53" s="26">
        <f>$B$8^(A53-1)</f>
        <v>66520.767021551699</v>
      </c>
      <c r="D53" s="34">
        <v>1.1000000000000001</v>
      </c>
      <c r="E53" s="27">
        <f t="shared" si="0"/>
        <v>273818.4961874655</v>
      </c>
      <c r="F53" s="27">
        <f t="shared" si="1"/>
        <v>149355.54337498112</v>
      </c>
      <c r="G53" s="27">
        <f t="shared" si="2"/>
        <v>149355.54337498112</v>
      </c>
      <c r="H53" s="27">
        <f t="shared" si="3"/>
        <v>124462.95281248432</v>
      </c>
      <c r="I53" s="27">
        <f t="shared" si="4"/>
        <v>124462.95281248432</v>
      </c>
      <c r="J53" s="27">
        <f t="shared" si="5"/>
        <v>124462.95281248432</v>
      </c>
      <c r="K53" s="27">
        <f t="shared" si="6"/>
        <v>124462.95281248432</v>
      </c>
      <c r="L53" s="27">
        <f t="shared" si="7"/>
        <v>99570.36224998736</v>
      </c>
      <c r="M53" s="27">
        <f t="shared" si="8"/>
        <v>74677.77168749056</v>
      </c>
      <c r="N53" s="27">
        <f t="shared" si="9"/>
        <v>49785.18112499368</v>
      </c>
      <c r="O53" s="27">
        <f t="shared" si="10"/>
        <v>49785.18112499368</v>
      </c>
    </row>
    <row r="54" spans="1:15" x14ac:dyDescent="0.2">
      <c r="A54" s="25">
        <v>42</v>
      </c>
      <c r="B54" s="26">
        <f>$B$7^(MIN(A54,$B$9)-1)*$B$8^(MAX(A54-$B$9,0))</f>
        <v>52179.626650408027</v>
      </c>
      <c r="C54" s="26">
        <f>$B$8^(A54-1)</f>
        <v>87807.412468448252</v>
      </c>
      <c r="D54" s="34">
        <v>1.1000000000000001</v>
      </c>
      <c r="E54" s="27">
        <f t="shared" si="0"/>
        <v>301200.34580621205</v>
      </c>
      <c r="F54" s="27">
        <f t="shared" si="1"/>
        <v>164291.09771247924</v>
      </c>
      <c r="G54" s="27">
        <f t="shared" si="2"/>
        <v>164291.09771247924</v>
      </c>
      <c r="H54" s="27">
        <f t="shared" si="3"/>
        <v>136909.24809373275</v>
      </c>
      <c r="I54" s="27">
        <f t="shared" si="4"/>
        <v>136909.24809373275</v>
      </c>
      <c r="J54" s="27">
        <f t="shared" si="5"/>
        <v>136909.24809373275</v>
      </c>
      <c r="K54" s="27">
        <f t="shared" si="6"/>
        <v>136909.24809373275</v>
      </c>
      <c r="L54" s="27">
        <f t="shared" si="7"/>
        <v>109527.39847498611</v>
      </c>
      <c r="M54" s="27">
        <f t="shared" si="8"/>
        <v>82145.54885623962</v>
      </c>
      <c r="N54" s="27">
        <f t="shared" si="9"/>
        <v>54763.699237493056</v>
      </c>
      <c r="O54" s="27">
        <f t="shared" si="10"/>
        <v>54763.699237493056</v>
      </c>
    </row>
    <row r="55" spans="1:15" x14ac:dyDescent="0.2">
      <c r="A55" s="25">
        <v>43</v>
      </c>
      <c r="B55" s="26">
        <f>$B$7^(MIN(A55,$B$9)-1)*$B$8^(MAX(A55-$B$9,0))</f>
        <v>68877.107178538601</v>
      </c>
      <c r="C55" s="26">
        <f>$B$8^(A55-1)</f>
        <v>115905.78445835169</v>
      </c>
      <c r="D55" s="34">
        <v>1.1000000000000001</v>
      </c>
      <c r="E55" s="27">
        <f t="shared" si="0"/>
        <v>331320.38038683328</v>
      </c>
      <c r="F55" s="27">
        <f t="shared" si="1"/>
        <v>180720.20748372719</v>
      </c>
      <c r="G55" s="27">
        <f t="shared" si="2"/>
        <v>180720.20748372719</v>
      </c>
      <c r="H55" s="27">
        <f t="shared" si="3"/>
        <v>150600.17290310602</v>
      </c>
      <c r="I55" s="27">
        <f t="shared" si="4"/>
        <v>150600.17290310602</v>
      </c>
      <c r="J55" s="27">
        <f t="shared" si="5"/>
        <v>150600.17290310602</v>
      </c>
      <c r="K55" s="27">
        <f t="shared" si="6"/>
        <v>150600.17290310602</v>
      </c>
      <c r="L55" s="27">
        <f t="shared" si="7"/>
        <v>120480.13832248474</v>
      </c>
      <c r="M55" s="27">
        <f t="shared" si="8"/>
        <v>90360.103741863597</v>
      </c>
      <c r="N55" s="27">
        <f t="shared" si="9"/>
        <v>60240.069161242369</v>
      </c>
      <c r="O55" s="27">
        <f t="shared" si="10"/>
        <v>60240.069161242369</v>
      </c>
    </row>
    <row r="56" spans="1:15" x14ac:dyDescent="0.2">
      <c r="A56" s="25">
        <v>44</v>
      </c>
      <c r="B56" s="26">
        <f>$B$7^(MIN(A56,$B$9)-1)*$B$8^(MAX(A56-$B$9,0))</f>
        <v>90917.78147567097</v>
      </c>
      <c r="C56" s="26">
        <f>$B$8^(A56-1)</f>
        <v>152995.63548502425</v>
      </c>
      <c r="D56" s="34">
        <v>1.1000000000000001</v>
      </c>
      <c r="E56" s="27">
        <f t="shared" si="0"/>
        <v>364452.41842551663</v>
      </c>
      <c r="F56" s="27">
        <f t="shared" si="1"/>
        <v>198792.22823209994</v>
      </c>
      <c r="G56" s="27">
        <f t="shared" si="2"/>
        <v>198792.22823209994</v>
      </c>
      <c r="H56" s="27">
        <f t="shared" si="3"/>
        <v>165660.19019341664</v>
      </c>
      <c r="I56" s="27">
        <f t="shared" si="4"/>
        <v>165660.19019341664</v>
      </c>
      <c r="J56" s="27">
        <f t="shared" si="5"/>
        <v>165660.19019341664</v>
      </c>
      <c r="K56" s="27">
        <f t="shared" si="6"/>
        <v>165660.19019341664</v>
      </c>
      <c r="L56" s="27">
        <f t="shared" si="7"/>
        <v>132528.15215473322</v>
      </c>
      <c r="M56" s="27">
        <f t="shared" si="8"/>
        <v>99396.114116049968</v>
      </c>
      <c r="N56" s="27">
        <f t="shared" si="9"/>
        <v>66264.076077366612</v>
      </c>
      <c r="O56" s="27">
        <f t="shared" si="10"/>
        <v>66264.076077366612</v>
      </c>
    </row>
    <row r="57" spans="1:15" x14ac:dyDescent="0.2">
      <c r="A57" s="25">
        <v>45</v>
      </c>
      <c r="B57" s="26">
        <f>$B$7^(MIN(A57,$B$9)-1)*$B$8^(MAX(A57-$B$9,0))</f>
        <v>120011.47154788568</v>
      </c>
      <c r="C57" s="26">
        <f>$B$8^(A57-1)</f>
        <v>201954.23884023199</v>
      </c>
      <c r="D57" s="34">
        <v>1.1000000000000001</v>
      </c>
      <c r="E57" s="27">
        <f t="shared" si="0"/>
        <v>400897.66026806831</v>
      </c>
      <c r="F57" s="27">
        <f t="shared" si="1"/>
        <v>218671.45105530994</v>
      </c>
      <c r="G57" s="27">
        <f t="shared" si="2"/>
        <v>218671.45105530994</v>
      </c>
      <c r="H57" s="27">
        <f t="shared" si="3"/>
        <v>182226.20921275832</v>
      </c>
      <c r="I57" s="27">
        <f t="shared" si="4"/>
        <v>182226.20921275832</v>
      </c>
      <c r="J57" s="27">
        <f t="shared" si="5"/>
        <v>182226.20921275832</v>
      </c>
      <c r="K57" s="27">
        <f t="shared" si="6"/>
        <v>182226.20921275832</v>
      </c>
      <c r="L57" s="27">
        <f t="shared" si="7"/>
        <v>145780.96737020655</v>
      </c>
      <c r="M57" s="27">
        <f t="shared" si="8"/>
        <v>109335.72552765497</v>
      </c>
      <c r="N57" s="27">
        <f t="shared" si="9"/>
        <v>72890.483685103274</v>
      </c>
      <c r="O57" s="27">
        <f t="shared" si="10"/>
        <v>72890.483685103274</v>
      </c>
    </row>
    <row r="58" spans="1:15" x14ac:dyDescent="0.2">
      <c r="A58" s="25">
        <v>46</v>
      </c>
      <c r="B58" s="26">
        <f>$B$7^(MIN(A58,$B$9)-1)*$B$8^(MAX(A58-$B$9,0))</f>
        <v>158415.1424432091</v>
      </c>
      <c r="C58" s="26">
        <f>$B$8^(A58-1)</f>
        <v>266579.59526910627</v>
      </c>
      <c r="D58" s="34">
        <v>1.1000000000000001</v>
      </c>
      <c r="E58" s="27">
        <f t="shared" si="0"/>
        <v>440987.42629487516</v>
      </c>
      <c r="F58" s="27">
        <f t="shared" si="1"/>
        <v>240538.59616084094</v>
      </c>
      <c r="G58" s="27">
        <f t="shared" si="2"/>
        <v>240538.59616084094</v>
      </c>
      <c r="H58" s="27">
        <f t="shared" si="3"/>
        <v>200448.83013403416</v>
      </c>
      <c r="I58" s="27">
        <f t="shared" si="4"/>
        <v>200448.83013403416</v>
      </c>
      <c r="J58" s="27">
        <f t="shared" si="5"/>
        <v>200448.83013403416</v>
      </c>
      <c r="K58" s="27">
        <f t="shared" si="6"/>
        <v>200448.83013403416</v>
      </c>
      <c r="L58" s="27">
        <f t="shared" si="7"/>
        <v>160359.06410722723</v>
      </c>
      <c r="M58" s="27">
        <f t="shared" si="8"/>
        <v>120269.29808042047</v>
      </c>
      <c r="N58" s="27">
        <f t="shared" si="9"/>
        <v>80179.532053613613</v>
      </c>
      <c r="O58" s="27">
        <f t="shared" si="10"/>
        <v>80179.532053613613</v>
      </c>
    </row>
    <row r="59" spans="1:15" x14ac:dyDescent="0.2">
      <c r="A59" s="25">
        <v>47</v>
      </c>
      <c r="B59" s="26">
        <f>$B$7^(MIN(A59,$B$9)-1)*$B$8^(MAX(A59-$B$9,0))</f>
        <v>209107.98802503603</v>
      </c>
      <c r="C59" s="26">
        <f>$B$8^(A59-1)</f>
        <v>351885.0657552203</v>
      </c>
      <c r="D59" s="34">
        <v>1.1000000000000001</v>
      </c>
      <c r="E59" s="27">
        <f t="shared" si="0"/>
        <v>485086.16892436269</v>
      </c>
      <c r="F59" s="27">
        <f t="shared" si="1"/>
        <v>264592.45577692508</v>
      </c>
      <c r="G59" s="27">
        <f t="shared" si="2"/>
        <v>264592.45577692508</v>
      </c>
      <c r="H59" s="27">
        <f t="shared" si="3"/>
        <v>220493.71314743758</v>
      </c>
      <c r="I59" s="27">
        <f t="shared" si="4"/>
        <v>220493.71314743758</v>
      </c>
      <c r="J59" s="27">
        <f t="shared" si="5"/>
        <v>220493.71314743758</v>
      </c>
      <c r="K59" s="27">
        <f t="shared" si="6"/>
        <v>220493.71314743758</v>
      </c>
      <c r="L59" s="27">
        <f t="shared" si="7"/>
        <v>176394.97051794996</v>
      </c>
      <c r="M59" s="27">
        <f t="shared" si="8"/>
        <v>132296.22788846254</v>
      </c>
      <c r="N59" s="27">
        <f t="shared" si="9"/>
        <v>88197.485258974979</v>
      </c>
      <c r="O59" s="27">
        <f t="shared" si="10"/>
        <v>88197.485258974979</v>
      </c>
    </row>
    <row r="60" spans="1:15" x14ac:dyDescent="0.2">
      <c r="A60" s="25">
        <v>48</v>
      </c>
      <c r="B60" s="26">
        <f>$B$7^(MIN(A60,$B$9)-1)*$B$8^(MAX(A60-$B$9,0))</f>
        <v>276022.54419304756</v>
      </c>
      <c r="C60" s="26">
        <f>$B$8^(A60-1)</f>
        <v>464488.28679689078</v>
      </c>
      <c r="D60" s="34">
        <v>1.1000000000000001</v>
      </c>
      <c r="E60" s="27">
        <f t="shared" si="0"/>
        <v>533594.78581679903</v>
      </c>
      <c r="F60" s="27">
        <f t="shared" si="1"/>
        <v>291051.7013546176</v>
      </c>
      <c r="G60" s="27">
        <f t="shared" si="2"/>
        <v>291051.7013546176</v>
      </c>
      <c r="H60" s="27">
        <f t="shared" si="3"/>
        <v>242543.08446218134</v>
      </c>
      <c r="I60" s="27">
        <f t="shared" si="4"/>
        <v>242543.08446218134</v>
      </c>
      <c r="J60" s="27">
        <f t="shared" si="5"/>
        <v>242543.08446218134</v>
      </c>
      <c r="K60" s="27">
        <f t="shared" si="6"/>
        <v>242543.08446218134</v>
      </c>
      <c r="L60" s="27">
        <f t="shared" si="7"/>
        <v>194034.46756974497</v>
      </c>
      <c r="M60" s="27">
        <f t="shared" si="8"/>
        <v>145525.8506773088</v>
      </c>
      <c r="N60" s="27">
        <f t="shared" si="9"/>
        <v>97017.233784872486</v>
      </c>
      <c r="O60" s="27">
        <f t="shared" si="10"/>
        <v>97017.233784872486</v>
      </c>
    </row>
    <row r="61" spans="1:15" x14ac:dyDescent="0.2">
      <c r="A61" s="25">
        <v>49</v>
      </c>
      <c r="B61" s="26">
        <f>$B$7^(MIN(A61,$B$9)-1)*$B$8^(MAX(A61-$B$9,0))</f>
        <v>364349.75833482284</v>
      </c>
      <c r="C61" s="26">
        <f>$B$8^(A61-1)</f>
        <v>613124.53857189592</v>
      </c>
      <c r="D61" s="34">
        <v>1.1000000000000001</v>
      </c>
      <c r="E61" s="27">
        <f t="shared" si="0"/>
        <v>586954.26439847902</v>
      </c>
      <c r="F61" s="27">
        <f t="shared" si="1"/>
        <v>320156.87149007939</v>
      </c>
      <c r="G61" s="27">
        <f t="shared" si="2"/>
        <v>320156.87149007939</v>
      </c>
      <c r="H61" s="27">
        <f t="shared" si="3"/>
        <v>266797.39290839952</v>
      </c>
      <c r="I61" s="27">
        <f t="shared" si="4"/>
        <v>266797.39290839952</v>
      </c>
      <c r="J61" s="27">
        <f t="shared" si="5"/>
        <v>266797.39290839952</v>
      </c>
      <c r="K61" s="27">
        <f t="shared" si="6"/>
        <v>266797.39290839952</v>
      </c>
      <c r="L61" s="27">
        <f t="shared" si="7"/>
        <v>213437.91432671947</v>
      </c>
      <c r="M61" s="27">
        <f t="shared" si="8"/>
        <v>160078.43574503969</v>
      </c>
      <c r="N61" s="27">
        <f t="shared" si="9"/>
        <v>106718.95716335974</v>
      </c>
      <c r="O61" s="27">
        <f t="shared" si="10"/>
        <v>106718.95716335974</v>
      </c>
    </row>
    <row r="62" spans="1:15" x14ac:dyDescent="0.2">
      <c r="A62" s="25">
        <v>50</v>
      </c>
      <c r="B62" s="26">
        <f>$B$7^(MIN(A62,$B$9)-1)*$B$8^(MAX(A62-$B$9,0))</f>
        <v>480941.68100196612</v>
      </c>
      <c r="C62" s="26">
        <f>$B$8^(A62-1)</f>
        <v>809324.39091490267</v>
      </c>
      <c r="D62" s="34">
        <v>1.1000000000000001</v>
      </c>
      <c r="E62" s="27">
        <f t="shared" si="0"/>
        <v>645649.69083832693</v>
      </c>
      <c r="F62" s="27">
        <f t="shared" si="1"/>
        <v>352172.55863908737</v>
      </c>
      <c r="G62" s="27">
        <f t="shared" si="2"/>
        <v>352172.55863908737</v>
      </c>
      <c r="H62" s="27">
        <f t="shared" si="3"/>
        <v>293477.13219923951</v>
      </c>
      <c r="I62" s="27">
        <f t="shared" si="4"/>
        <v>293477.13219923951</v>
      </c>
      <c r="J62" s="27">
        <f t="shared" si="5"/>
        <v>293477.13219923951</v>
      </c>
      <c r="K62" s="27">
        <f t="shared" si="6"/>
        <v>293477.13219923951</v>
      </c>
      <c r="L62" s="27">
        <f t="shared" si="7"/>
        <v>234781.70575939145</v>
      </c>
      <c r="M62" s="27">
        <f t="shared" si="8"/>
        <v>176086.27931954368</v>
      </c>
      <c r="N62" s="27">
        <f t="shared" si="9"/>
        <v>117390.85287969573</v>
      </c>
      <c r="O62" s="27">
        <f t="shared" si="10"/>
        <v>117390.85287969573</v>
      </c>
    </row>
    <row r="63" spans="1:15" x14ac:dyDescent="0.2">
      <c r="B63" s="26">
        <f>$B$7^(MIN(A63,$B$9)-1)*$B$8^(MAX(A63-$B$9,0))</f>
        <v>12.597461251556663</v>
      </c>
    </row>
    <row r="64" spans="1:15" ht="219.75" x14ac:dyDescent="0.2">
      <c r="A64" s="2" t="s">
        <v>238</v>
      </c>
    </row>
    <row r="65" spans="1:1" ht="288.75" x14ac:dyDescent="0.2">
      <c r="A65" s="2" t="s">
        <v>239</v>
      </c>
    </row>
    <row r="66" spans="1:1" ht="231.75" x14ac:dyDescent="0.2">
      <c r="A66" s="2" t="s">
        <v>240</v>
      </c>
    </row>
    <row r="67" spans="1:1" ht="256.5" x14ac:dyDescent="0.2">
      <c r="A67" s="2" t="s">
        <v>241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showGridLines="0" tabSelected="1" zoomScaleNormal="100" workbookViewId="0">
      <pane ySplit="4" topLeftCell="A5" activePane="bottomLeft" state="frozen"/>
      <selection pane="bottomLeft"/>
    </sheetView>
  </sheetViews>
  <sheetFormatPr defaultColWidth="8.7421875" defaultRowHeight="15" x14ac:dyDescent="0.2"/>
  <cols>
    <col min="1" max="1" width="4.9765625" customWidth="1"/>
    <col min="2" max="2" width="55.9609375" customWidth="1"/>
    <col min="3" max="3" width="48.0234375" customWidth="1"/>
    <col min="4" max="4" width="59.99609375" customWidth="1"/>
    <col min="5" max="5" width="39.953125" customWidth="1"/>
  </cols>
  <sheetData>
    <row r="1" spans="1:5" ht="17.25" x14ac:dyDescent="0.2">
      <c r="A1" s="5" t="s">
        <v>242</v>
      </c>
    </row>
    <row r="2" spans="1:5" x14ac:dyDescent="0.2">
      <c r="A2" s="6" t="s">
        <v>243</v>
      </c>
    </row>
    <row r="4" spans="1:5" x14ac:dyDescent="0.2">
      <c r="A4" s="7" t="s">
        <v>244</v>
      </c>
      <c r="B4" s="7" t="s">
        <v>245</v>
      </c>
      <c r="C4" s="7" t="s">
        <v>246</v>
      </c>
      <c r="D4" s="7" t="s">
        <v>247</v>
      </c>
      <c r="E4" s="7" t="s">
        <v>248</v>
      </c>
    </row>
    <row r="5" spans="1:5" ht="24.75" x14ac:dyDescent="0.2">
      <c r="A5" s="28">
        <v>1</v>
      </c>
      <c r="B5" s="8" t="s">
        <v>249</v>
      </c>
      <c r="C5" s="8" t="s">
        <v>250</v>
      </c>
      <c r="D5" s="8" t="s">
        <v>251</v>
      </c>
      <c r="E5" s="8" t="s">
        <v>252</v>
      </c>
    </row>
    <row r="6" spans="1:5" ht="24.75" x14ac:dyDescent="0.2">
      <c r="A6" s="28">
        <v>2</v>
      </c>
      <c r="B6" s="8" t="s">
        <v>253</v>
      </c>
      <c r="C6" s="8" t="s">
        <v>254</v>
      </c>
      <c r="D6" s="8" t="s">
        <v>255</v>
      </c>
      <c r="E6" s="8" t="s">
        <v>252</v>
      </c>
    </row>
    <row r="7" spans="1:5" x14ac:dyDescent="0.2">
      <c r="A7" s="28">
        <v>3</v>
      </c>
      <c r="B7" s="8" t="s">
        <v>256</v>
      </c>
      <c r="C7" s="8" t="s">
        <v>257</v>
      </c>
      <c r="D7" s="8" t="s">
        <v>258</v>
      </c>
      <c r="E7" s="8" t="s">
        <v>259</v>
      </c>
    </row>
    <row r="8" spans="1:5" x14ac:dyDescent="0.2">
      <c r="A8" s="28">
        <v>4</v>
      </c>
      <c r="B8" s="8" t="s">
        <v>260</v>
      </c>
      <c r="C8" s="8" t="s">
        <v>261</v>
      </c>
      <c r="D8" s="8" t="s">
        <v>262</v>
      </c>
      <c r="E8" s="8" t="s">
        <v>263</v>
      </c>
    </row>
    <row r="9" spans="1:5" ht="24.75" x14ac:dyDescent="0.2">
      <c r="A9" s="28">
        <v>5</v>
      </c>
      <c r="B9" s="8" t="s">
        <v>264</v>
      </c>
      <c r="C9" s="8" t="s">
        <v>265</v>
      </c>
      <c r="D9" s="8" t="s">
        <v>266</v>
      </c>
      <c r="E9" s="8" t="s">
        <v>263</v>
      </c>
    </row>
    <row r="10" spans="1:5" x14ac:dyDescent="0.2">
      <c r="A10" s="28">
        <v>6</v>
      </c>
      <c r="B10" s="8" t="s">
        <v>267</v>
      </c>
      <c r="C10" s="8" t="s">
        <v>268</v>
      </c>
      <c r="D10" s="8" t="s">
        <v>269</v>
      </c>
      <c r="E10" s="8" t="s">
        <v>263</v>
      </c>
    </row>
    <row r="11" spans="1:5" x14ac:dyDescent="0.2">
      <c r="A11" s="28">
        <v>7</v>
      </c>
      <c r="B11" s="8" t="s">
        <v>270</v>
      </c>
      <c r="C11" s="8" t="s">
        <v>271</v>
      </c>
      <c r="D11" s="8" t="s">
        <v>272</v>
      </c>
      <c r="E11" s="8" t="s">
        <v>273</v>
      </c>
    </row>
    <row r="12" spans="1:5" x14ac:dyDescent="0.2">
      <c r="A12" s="28">
        <v>8</v>
      </c>
      <c r="B12" s="8" t="s">
        <v>274</v>
      </c>
      <c r="C12" s="8" t="s">
        <v>275</v>
      </c>
      <c r="D12" s="8" t="s">
        <v>276</v>
      </c>
      <c r="E12" s="8" t="s">
        <v>277</v>
      </c>
    </row>
    <row r="13" spans="1:5" x14ac:dyDescent="0.2">
      <c r="A13" s="28">
        <v>9</v>
      </c>
      <c r="B13" s="8" t="s">
        <v>278</v>
      </c>
      <c r="C13" s="8" t="s">
        <v>275</v>
      </c>
      <c r="D13" s="8" t="s">
        <v>279</v>
      </c>
      <c r="E13" s="8" t="s">
        <v>280</v>
      </c>
    </row>
    <row r="14" spans="1:5" ht="24.75" x14ac:dyDescent="0.2">
      <c r="A14" s="28">
        <v>10</v>
      </c>
      <c r="B14" s="8" t="s">
        <v>281</v>
      </c>
      <c r="C14" s="8" t="s">
        <v>282</v>
      </c>
      <c r="D14" s="8" t="s">
        <v>283</v>
      </c>
      <c r="E14" s="8" t="s">
        <v>284</v>
      </c>
    </row>
    <row r="15" spans="1:5" ht="24.75" x14ac:dyDescent="0.2">
      <c r="A15" s="28">
        <v>11</v>
      </c>
      <c r="B15" s="8" t="s">
        <v>285</v>
      </c>
      <c r="C15" s="8" t="s">
        <v>286</v>
      </c>
      <c r="D15" s="8" t="s">
        <v>287</v>
      </c>
      <c r="E15" s="8" t="s">
        <v>288</v>
      </c>
    </row>
    <row r="16" spans="1:5" ht="24.75" x14ac:dyDescent="0.2">
      <c r="A16" s="28">
        <v>12</v>
      </c>
      <c r="B16" s="8" t="s">
        <v>289</v>
      </c>
      <c r="C16" s="8" t="s">
        <v>290</v>
      </c>
      <c r="D16" s="8" t="s">
        <v>291</v>
      </c>
      <c r="E16" s="8" t="s">
        <v>292</v>
      </c>
    </row>
    <row r="17" spans="1:5" ht="24.75" x14ac:dyDescent="0.2">
      <c r="A17" s="28">
        <v>13</v>
      </c>
      <c r="B17" s="8" t="s">
        <v>293</v>
      </c>
      <c r="C17" s="8" t="s">
        <v>294</v>
      </c>
      <c r="D17" s="8" t="s">
        <v>295</v>
      </c>
      <c r="E17" s="8" t="s">
        <v>296</v>
      </c>
    </row>
    <row r="18" spans="1:5" ht="24.75" x14ac:dyDescent="0.2">
      <c r="A18" s="28">
        <v>14</v>
      </c>
      <c r="B18" s="8" t="s">
        <v>297</v>
      </c>
      <c r="C18" s="8" t="s">
        <v>298</v>
      </c>
      <c r="D18" s="8" t="s">
        <v>299</v>
      </c>
      <c r="E18" s="8" t="s">
        <v>300</v>
      </c>
    </row>
    <row r="20" spans="1:5" ht="47.25" x14ac:dyDescent="0.2">
      <c r="B20" s="19" t="s">
        <v>301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Feuilles de calcul</vt:lpstr>
      </vt:variant>
      <vt:variant>
        <vt:i4>5</vt:i4>
      </vt:variant>
    </vt:vector>
  </HeadingPairs>
  <TitlesOfParts>
    <vt:vector size="5" baseType="lpstr">
      <vt:lpstr>LISEZ-MOI</vt:lpstr>
      <vt:lpstr>BATIMENTS</vt:lpstr>
      <vt:lpstr>EFFETS</vt:lpstr>
      <vt:lpstr>COURBE</vt:lpstr>
      <vt:lpstr>TROUS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2026-08-25T07:16:10Z</dcterms:created>
  <dcterms:modified xsi:type="dcterms:W3CDTF">2026-08-25T07:16:10Z</dcterms:modified>
  <dc:language>en-US</dc:language>
</cp:coreProperties>
</file>