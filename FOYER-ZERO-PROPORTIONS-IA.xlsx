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1B751961-E1D3-3743-A7D0-0746F98FF4C9}" xr6:coauthVersionLast="47" xr6:coauthVersionMax="47" xr10:uidLastSave="{00000000-0000-0000-0000-000000000000}"/>
  <bookViews>
    <workbookView xWindow="0" yWindow="0" windowWidth="16384" windowHeight="8192" tabRatio="500" activeTab="2" xr2:uid="{00000000-000D-0000-FFFF-FFFF00000000}"/>
  </bookViews>
  <sheets>
    <sheet name="LISEZ-MOI" sheetId="1" r:id="rId1"/>
    <sheet name="IA-OFFENSE" sheetId="2" r:id="rId2"/>
    <sheet name="IA-DEFENSE" sheetId="3" r:id="rId3"/>
    <sheet name="DEBLOCAGE" sheetId="4" r:id="rId4"/>
  </sheets>
  <definedNames>
    <definedName name="_xlnm._FilterDatabase" localSheetId="2" hidden="1">'IA-DEFENSE'!$A$4:$T$17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17" i="3" l="1"/>
  <c r="T17" i="3"/>
  <c r="S16" i="3"/>
  <c r="T16" i="3"/>
  <c r="S15" i="3"/>
  <c r="T15" i="3"/>
  <c r="S14" i="3"/>
  <c r="T14" i="3"/>
  <c r="S13" i="3"/>
  <c r="T13" i="3"/>
  <c r="S12" i="3"/>
  <c r="T12" i="3"/>
  <c r="S11" i="3"/>
  <c r="T11" i="3"/>
  <c r="S10" i="3"/>
  <c r="T10" i="3"/>
  <c r="S9" i="3"/>
  <c r="T9" i="3"/>
  <c r="S8" i="3"/>
  <c r="T8" i="3"/>
  <c r="S7" i="3"/>
  <c r="T7" i="3"/>
  <c r="P17" i="2"/>
  <c r="Q17" i="2"/>
  <c r="P16" i="2"/>
  <c r="Q16" i="2"/>
  <c r="P15" i="2"/>
  <c r="Q15" i="2"/>
  <c r="P14" i="2"/>
  <c r="Q14" i="2"/>
  <c r="P13" i="2"/>
  <c r="Q13" i="2"/>
  <c r="P12" i="2"/>
  <c r="Q12" i="2"/>
  <c r="P11" i="2"/>
  <c r="Q11" i="2"/>
  <c r="P10" i="2"/>
  <c r="Q10" i="2"/>
  <c r="P9" i="2"/>
  <c r="Q9" i="2"/>
  <c r="P8" i="2"/>
  <c r="Q8" i="2"/>
  <c r="P7" i="2"/>
  <c r="Q7" i="2"/>
</calcChain>
</file>

<file path=xl/sharedStrings.xml><?xml version="1.0" encoding="utf-8"?>
<sst xmlns="http://schemas.openxmlformats.org/spreadsheetml/2006/main" count="349" uniqueCount="103">
  <si>
    <t>Proportions d'apparition des unités de l'Ouvrage</t>
  </si>
  <si>
    <t>Ce qu'il faut remplir</t>
  </si>
  <si>
    <t>Pour chaque niveau de site, la part de chaque unité dans la garnison ou dans la vague d'attaque.</t>
  </si>
  <si>
    <t>Entrer des ENTIERS de 0 à 100. La colonne TOTAL doit atteindre 100 — elle le signale sinon.</t>
  </si>
  <si>
    <t>Lecture des cellules</t>
  </si>
  <si>
    <t>JAUNE  : à remplir. L'unité est débloquée à ce niveau.</t>
  </si>
  <si>
    <t>GRIS   : verrouillé. L'unité n'existe pas encore à ce niveau, laisser vide.</t>
  </si>
  <si>
    <t>Deux feuilles</t>
  </si>
  <si>
    <t>IA-OFFENSE  : ce que l'Ouvrage envoie quand il attaque une base du joueur. 14 unités.</t>
  </si>
  <si>
    <t>IA-DEFENSE  : ce qui garnit un camp, un avant-poste ou une base. 8 unités mobiles + 9 structures,</t>
  </si>
  <si>
    <t xml:space="preserve">              en un seul pool — la colonne « nb défenses » de SITES-DENSITE les compte ensemble.</t>
  </si>
  <si>
    <t>Contraintes de départ</t>
  </si>
  <si>
    <t>Au niveau 0, seuls les Fusiliers existent : la ligne vaut forcément 100.</t>
  </si>
  <si>
    <t>Au niveau 5, Fusiliers et Perceurs seulement.</t>
  </si>
  <si>
    <t>Aucune structure défensive avant le niveau 6 (Merlon). Un camp de niveau 5 n'a donc</t>
  </si>
  <si>
    <t>que des défenseurs mobiles — ce qui est cohérent avec ses 3 défenses.</t>
  </si>
  <si>
    <t>Niveaux de déblocage</t>
  </si>
  <si>
    <t>Repris de la colonne « apparition forgotten en niv » de la feuille UNITES du classeur de</t>
  </si>
  <si>
    <t>calibrage, qui fait foi. Les valeurs divergentes de CIBLAGE-DEFENSE ont été écartées.</t>
  </si>
  <si>
    <t>Rappel</t>
  </si>
  <si>
    <t>Ces proportions sont la seconde moitié de la courbe de pression ennemie. Les niveaux de</t>
  </si>
  <si>
    <t>déblocage disent ce qui PEUT apparaître ; ce classeur dit en quelles quantités. Sans lui, le</t>
  </si>
  <si>
    <t>générateur de sites ne sait pas composer une garnison.</t>
  </si>
  <si>
    <t>Ouvrage — composition des vagues d'attaque</t>
  </si>
  <si>
    <t>Ce que l'Ouvrage envoie quand une de ses bases attaque le joueur. Part de chaque unité, en pourcentage du total de la vague.</t>
  </si>
  <si>
    <t>Escouade · anti-infanterie</t>
  </si>
  <si>
    <t>Escouade · anti-structure</t>
  </si>
  <si>
    <t>Escouade · anti-véhicule</t>
  </si>
  <si>
    <t>Aéronef · anti-infanterie</t>
  </si>
  <si>
    <t>Blindé · anti-véhicule</t>
  </si>
  <si>
    <t>Aéronef · anti-véhicule</t>
  </si>
  <si>
    <t>Blindé · anti-structure</t>
  </si>
  <si>
    <t>Blindé · anti-infanterie</t>
  </si>
  <si>
    <t>Aéronef · anti-structure</t>
  </si>
  <si>
    <t>Niveau</t>
  </si>
  <si>
    <t>Fusiliers</t>
  </si>
  <si>
    <t>Perceurs</t>
  </si>
  <si>
    <t>Cuirassier</t>
  </si>
  <si>
    <t>Crécelle</t>
  </si>
  <si>
    <t>Fendeur</t>
  </si>
  <si>
    <t>Busard</t>
  </si>
  <si>
    <t>Bélier</t>
  </si>
  <si>
    <t>Ratisseur</t>
  </si>
  <si>
    <t>Frappeur</t>
  </si>
  <si>
    <t>Guetteur</t>
  </si>
  <si>
    <t>Sapeurs</t>
  </si>
  <si>
    <t>Broyeur</t>
  </si>
  <si>
    <t>Obusier</t>
  </si>
  <si>
    <t>Enclume</t>
  </si>
  <si>
    <t>TOTAL</t>
  </si>
  <si>
    <t>contrôle</t>
  </si>
  <si>
    <t>débloqué à</t>
  </si>
  <si>
    <t>niv 0</t>
  </si>
  <si>
    <t>niv 4</t>
  </si>
  <si>
    <t>niv 8</t>
  </si>
  <si>
    <t>niv 10</t>
  </si>
  <si>
    <t>niv 12</t>
  </si>
  <si>
    <t>niv 14</t>
  </si>
  <si>
    <t>niv 16</t>
  </si>
  <si>
    <t>niv 18</t>
  </si>
  <si>
    <t>niv 20</t>
  </si>
  <si>
    <t>niv 22</t>
  </si>
  <si>
    <t>niv 24</t>
  </si>
  <si>
    <t>niv 28</t>
  </si>
  <si>
    <t>niv 32</t>
  </si>
  <si>
    <t>niv 36</t>
  </si>
  <si>
    <t>—</t>
  </si>
  <si>
    <t>Entrer des entiers de 0 à 100. Les cellules grises correspondent à une unité pas encore débloquée à ce niveau.</t>
  </si>
  <si>
    <t>Ouvrage — composition des garnisons</t>
  </si>
  <si>
    <t>Ce qui garnit un camp, un avant-poste ou une base. Unités mobiles et structures dans un seul pool : c'est ce que compte la colonne « nb défenses ».</t>
  </si>
  <si>
    <t>unité · anti-infanterie</t>
  </si>
  <si>
    <t>unité · anti-aérien</t>
  </si>
  <si>
    <t>structure · mur, bloque</t>
  </si>
  <si>
    <t>unité · anti-véhicule</t>
  </si>
  <si>
    <t>structure · tourelle anti-infanterie</t>
  </si>
  <si>
    <t>structure · tourelle anti-aérienne</t>
  </si>
  <si>
    <t>structure · tourelle anti-véhicule</t>
  </si>
  <si>
    <t>structure · barrière anti-véhicule</t>
  </si>
  <si>
    <t>structure · barrière anti-infanterie</t>
  </si>
  <si>
    <t>structure · artillerie anti-infanterie</t>
  </si>
  <si>
    <t>structure · artillerie anti-véhicule</t>
  </si>
  <si>
    <t>structure · artillerie anti-aérienne</t>
  </si>
  <si>
    <t>Merlon</t>
  </si>
  <si>
    <t>Casemate</t>
  </si>
  <si>
    <t>Batterie</t>
  </si>
  <si>
    <t>Créneau</t>
  </si>
  <si>
    <t>Herse</t>
  </si>
  <si>
    <t>Ronce</t>
  </si>
  <si>
    <t>Faucheuse</t>
  </si>
  <si>
    <t>Mortier</t>
  </si>
  <si>
    <t>Harpon</t>
  </si>
  <si>
    <t>niv 6</t>
  </si>
  <si>
    <t>niv 26</t>
  </si>
  <si>
    <t>niv 30</t>
  </si>
  <si>
    <t>Séquence de déblocage de l'Ouvrage</t>
  </si>
  <si>
    <t>Rangée par niveau croissant. Sert de repère pour répartir les proportions.</t>
  </si>
  <si>
    <t>Nom</t>
  </si>
  <si>
    <t>Côté</t>
  </si>
  <si>
    <t>Catégorie</t>
  </si>
  <si>
    <t>offense</t>
  </si>
  <si>
    <t>défense</t>
  </si>
  <si>
    <t>point de recherche au niveau 1</t>
  </si>
  <si>
    <t xml:space="preserve">20% supplémentaire si module déverrouiller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</si>
</sst>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808080"/>
      <name val="Arial"/>
      <charset val="1"/>
    </font>
    <font>
      <sz val="8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0000FF"/>
      <name val="Arial"/>
      <charset val="1"/>
    </font>
    <font>
      <sz val="9"/>
      <color rgb="FFA6A6A6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E8E8E8"/>
      </patternFill>
    </fill>
    <fill>
      <patternFill patternType="solid">
        <fgColor rgb="FF404040"/>
        <bgColor rgb="FF333300"/>
      </patternFill>
    </fill>
    <fill>
      <patternFill patternType="solid">
        <fgColor rgb="FFFFFF99"/>
        <bgColor rgb="FFCCFFCC"/>
      </patternFill>
    </fill>
    <fill>
      <patternFill patternType="solid">
        <fgColor rgb="FFE8E8E8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0" fillId="3" borderId="0" xfId="0" applyFill="1"/>
    <xf numFmtId="0" fontId="5" fillId="3" borderId="1" xfId="0" applyFont="1" applyFill="1" applyBorder="1" applyAlignment="1">
      <alignment horizontal="center" textRotation="90"/>
    </xf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1"/>
  <sheetViews>
    <sheetView topLeftCell="B7" zoomScaleNormal="100" workbookViewId="0"/>
  </sheetViews>
  <sheetFormatPr defaultColWidth="8.7421875" defaultRowHeight="15" x14ac:dyDescent="0.2"/>
  <cols>
    <col min="1" max="1" width="2.95703125" customWidth="1"/>
    <col min="2" max="2" width="97.93359375" customWidth="1"/>
  </cols>
  <sheetData>
    <row r="2" spans="2:2" ht="18" x14ac:dyDescent="0.2">
      <c r="B2" s="1" t="s">
        <v>0</v>
      </c>
    </row>
    <row r="4" spans="2:2" x14ac:dyDescent="0.2">
      <c r="B4" s="2"/>
    </row>
    <row r="5" spans="2:2" x14ac:dyDescent="0.2">
      <c r="B5" s="3" t="s">
        <v>1</v>
      </c>
    </row>
    <row r="6" spans="2:2" x14ac:dyDescent="0.2">
      <c r="B6" s="2" t="s">
        <v>2</v>
      </c>
    </row>
    <row r="7" spans="2:2" x14ac:dyDescent="0.2">
      <c r="B7" s="2" t="s">
        <v>3</v>
      </c>
    </row>
    <row r="8" spans="2:2" x14ac:dyDescent="0.2">
      <c r="B8" s="2"/>
    </row>
    <row r="9" spans="2:2" x14ac:dyDescent="0.2">
      <c r="B9" s="3" t="s">
        <v>4</v>
      </c>
    </row>
    <row r="10" spans="2:2" x14ac:dyDescent="0.2">
      <c r="B10" s="2" t="s">
        <v>5</v>
      </c>
    </row>
    <row r="11" spans="2:2" x14ac:dyDescent="0.2">
      <c r="B11" s="2" t="s">
        <v>6</v>
      </c>
    </row>
    <row r="12" spans="2:2" x14ac:dyDescent="0.2">
      <c r="B12" s="2"/>
    </row>
    <row r="13" spans="2:2" x14ac:dyDescent="0.2">
      <c r="B13" s="3" t="s">
        <v>7</v>
      </c>
    </row>
    <row r="14" spans="2:2" x14ac:dyDescent="0.2">
      <c r="B14" s="2" t="s">
        <v>8</v>
      </c>
    </row>
    <row r="15" spans="2:2" x14ac:dyDescent="0.2">
      <c r="B15" s="2" t="s">
        <v>9</v>
      </c>
    </row>
    <row r="16" spans="2:2" x14ac:dyDescent="0.2">
      <c r="B16" s="2" t="s">
        <v>10</v>
      </c>
    </row>
    <row r="17" spans="2:2" x14ac:dyDescent="0.2">
      <c r="B17" s="2"/>
    </row>
    <row r="18" spans="2:2" x14ac:dyDescent="0.2">
      <c r="B18" s="3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14</v>
      </c>
    </row>
    <row r="22" spans="2:2" x14ac:dyDescent="0.2">
      <c r="B22" s="2" t="s">
        <v>15</v>
      </c>
    </row>
    <row r="23" spans="2:2" x14ac:dyDescent="0.2">
      <c r="B23" s="2"/>
    </row>
    <row r="24" spans="2:2" x14ac:dyDescent="0.2">
      <c r="B24" s="3" t="s">
        <v>16</v>
      </c>
    </row>
    <row r="25" spans="2:2" x14ac:dyDescent="0.2">
      <c r="B25" s="2" t="s">
        <v>17</v>
      </c>
    </row>
    <row r="26" spans="2:2" x14ac:dyDescent="0.2">
      <c r="B26" s="2" t="s">
        <v>18</v>
      </c>
    </row>
    <row r="27" spans="2:2" x14ac:dyDescent="0.2">
      <c r="B27" s="2"/>
    </row>
    <row r="28" spans="2:2" x14ac:dyDescent="0.2">
      <c r="B28" s="3" t="s">
        <v>19</v>
      </c>
    </row>
    <row r="29" spans="2:2" x14ac:dyDescent="0.2">
      <c r="B29" s="2" t="s">
        <v>20</v>
      </c>
    </row>
    <row r="30" spans="2:2" x14ac:dyDescent="0.2">
      <c r="B30" s="2" t="s">
        <v>21</v>
      </c>
    </row>
    <row r="31" spans="2:2" x14ac:dyDescent="0.2">
      <c r="B31" s="2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9"/>
  <sheetViews>
    <sheetView zoomScaleNormal="100" workbookViewId="0">
      <pane xSplit="1" ySplit="6" topLeftCell="B7" activePane="bottomRight" state="frozen"/>
      <selection pane="bottomLeft" activeCell="A7" sqref="A7"/>
      <selection pane="topRight" activeCell="B1" sqref="B1"/>
      <selection pane="bottomRight" activeCell="B18" sqref="B18"/>
    </sheetView>
  </sheetViews>
  <sheetFormatPr defaultColWidth="8.7421875" defaultRowHeight="15" x14ac:dyDescent="0.2"/>
  <cols>
    <col min="1" max="1" width="9.953125" customWidth="1"/>
    <col min="2" max="15" width="11.02734375" customWidth="1"/>
    <col min="16" max="16" width="9.01171875" customWidth="1"/>
    <col min="17" max="17" width="11.02734375" customWidth="1"/>
  </cols>
  <sheetData>
    <row r="1" spans="1:17" ht="18" x14ac:dyDescent="0.2">
      <c r="A1" s="1" t="s">
        <v>23</v>
      </c>
    </row>
    <row r="2" spans="1:17" x14ac:dyDescent="0.2">
      <c r="A2" s="4" t="s">
        <v>24</v>
      </c>
    </row>
    <row r="4" spans="1:17" ht="117.75" customHeight="1" x14ac:dyDescent="0.2">
      <c r="A4" s="5"/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25</v>
      </c>
      <c r="L4" s="6" t="s">
        <v>26</v>
      </c>
      <c r="M4" s="6" t="s">
        <v>29</v>
      </c>
      <c r="N4" s="6" t="s">
        <v>31</v>
      </c>
      <c r="O4" s="6" t="s">
        <v>33</v>
      </c>
    </row>
    <row r="5" spans="1:17" x14ac:dyDescent="0.2">
      <c r="A5" s="7" t="s">
        <v>34</v>
      </c>
      <c r="B5" s="8" t="s">
        <v>35</v>
      </c>
      <c r="C5" s="8" t="s">
        <v>36</v>
      </c>
      <c r="D5" s="8" t="s">
        <v>37</v>
      </c>
      <c r="E5" s="8" t="s">
        <v>38</v>
      </c>
      <c r="F5" s="8" t="s">
        <v>39</v>
      </c>
      <c r="G5" s="8" t="s">
        <v>40</v>
      </c>
      <c r="H5" s="8" t="s">
        <v>41</v>
      </c>
      <c r="I5" s="8" t="s">
        <v>42</v>
      </c>
      <c r="J5" s="8" t="s">
        <v>43</v>
      </c>
      <c r="K5" s="8" t="s">
        <v>44</v>
      </c>
      <c r="L5" s="8" t="s">
        <v>45</v>
      </c>
      <c r="M5" s="8" t="s">
        <v>46</v>
      </c>
      <c r="N5" s="8" t="s">
        <v>47</v>
      </c>
      <c r="O5" s="8" t="s">
        <v>48</v>
      </c>
      <c r="P5" s="8" t="s">
        <v>49</v>
      </c>
      <c r="Q5" s="8" t="s">
        <v>50</v>
      </c>
    </row>
    <row r="6" spans="1:17" x14ac:dyDescent="0.2">
      <c r="A6" s="9" t="s">
        <v>51</v>
      </c>
      <c r="B6" s="10" t="s">
        <v>52</v>
      </c>
      <c r="C6" s="10" t="s">
        <v>53</v>
      </c>
      <c r="D6" s="10" t="s">
        <v>54</v>
      </c>
      <c r="E6" s="10" t="s">
        <v>55</v>
      </c>
      <c r="F6" s="10" t="s">
        <v>56</v>
      </c>
      <c r="G6" s="10" t="s">
        <v>57</v>
      </c>
      <c r="H6" s="10" t="s">
        <v>58</v>
      </c>
      <c r="I6" s="10" t="s">
        <v>59</v>
      </c>
      <c r="J6" s="10" t="s">
        <v>60</v>
      </c>
      <c r="K6" s="10" t="s">
        <v>61</v>
      </c>
      <c r="L6" s="10" t="s">
        <v>62</v>
      </c>
      <c r="M6" s="10" t="s">
        <v>63</v>
      </c>
      <c r="N6" s="10" t="s">
        <v>64</v>
      </c>
      <c r="O6" s="10" t="s">
        <v>65</v>
      </c>
    </row>
    <row r="7" spans="1:17" x14ac:dyDescent="0.2">
      <c r="A7" s="11">
        <v>0</v>
      </c>
      <c r="B7" s="12">
        <v>100</v>
      </c>
      <c r="C7" s="13" t="s">
        <v>66</v>
      </c>
      <c r="D7" s="13" t="s">
        <v>66</v>
      </c>
      <c r="E7" s="13" t="s">
        <v>66</v>
      </c>
      <c r="F7" s="13" t="s">
        <v>66</v>
      </c>
      <c r="G7" s="13" t="s">
        <v>66</v>
      </c>
      <c r="H7" s="13" t="s">
        <v>66</v>
      </c>
      <c r="I7" s="13" t="s">
        <v>66</v>
      </c>
      <c r="J7" s="13" t="s">
        <v>66</v>
      </c>
      <c r="K7" s="13" t="s">
        <v>66</v>
      </c>
      <c r="L7" s="13" t="s">
        <v>66</v>
      </c>
      <c r="M7" s="13" t="s">
        <v>66</v>
      </c>
      <c r="N7" s="13" t="s">
        <v>66</v>
      </c>
      <c r="O7" s="13" t="s">
        <v>66</v>
      </c>
      <c r="P7" s="14">
        <f>SUM(B7:O7)</f>
        <v>100</v>
      </c>
      <c r="Q7" s="14" t="str">
        <f>IF(P7=0,"vide",IF(P7=100,"ok","≠ 100"))</f>
        <v>ok</v>
      </c>
    </row>
    <row r="8" spans="1:17" x14ac:dyDescent="0.2">
      <c r="A8" s="11">
        <v>5</v>
      </c>
      <c r="B8" s="12">
        <v>75</v>
      </c>
      <c r="C8" s="12">
        <v>25</v>
      </c>
      <c r="D8" s="13" t="s">
        <v>66</v>
      </c>
      <c r="E8" s="13" t="s">
        <v>66</v>
      </c>
      <c r="F8" s="13" t="s">
        <v>66</v>
      </c>
      <c r="G8" s="13" t="s">
        <v>66</v>
      </c>
      <c r="H8" s="13" t="s">
        <v>66</v>
      </c>
      <c r="I8" s="13" t="s">
        <v>66</v>
      </c>
      <c r="J8" s="13" t="s">
        <v>66</v>
      </c>
      <c r="K8" s="13" t="s">
        <v>66</v>
      </c>
      <c r="L8" s="13" t="s">
        <v>66</v>
      </c>
      <c r="M8" s="13" t="s">
        <v>66</v>
      </c>
      <c r="N8" s="13" t="s">
        <v>66</v>
      </c>
      <c r="O8" s="13" t="s">
        <v>66</v>
      </c>
      <c r="P8" s="14">
        <f>SUM(B8:O8)</f>
        <v>100</v>
      </c>
      <c r="Q8" s="14" t="str">
        <f>IF(P8=0,"vide",IF(P8=100,"ok","≠ 100"))</f>
        <v>ok</v>
      </c>
    </row>
    <row r="9" spans="1:17" x14ac:dyDescent="0.2">
      <c r="A9" s="11">
        <v>10</v>
      </c>
      <c r="B9" s="12">
        <v>60</v>
      </c>
      <c r="C9" s="12">
        <v>25</v>
      </c>
      <c r="D9" s="12">
        <v>10</v>
      </c>
      <c r="E9" s="12">
        <v>5</v>
      </c>
      <c r="F9" s="13" t="s">
        <v>66</v>
      </c>
      <c r="G9" s="13" t="s">
        <v>66</v>
      </c>
      <c r="H9" s="13" t="s">
        <v>66</v>
      </c>
      <c r="I9" s="13" t="s">
        <v>66</v>
      </c>
      <c r="J9" s="13" t="s">
        <v>66</v>
      </c>
      <c r="K9" s="13" t="s">
        <v>66</v>
      </c>
      <c r="L9" s="13" t="s">
        <v>66</v>
      </c>
      <c r="M9" s="13" t="s">
        <v>66</v>
      </c>
      <c r="N9" s="13" t="s">
        <v>66</v>
      </c>
      <c r="O9" s="13" t="s">
        <v>66</v>
      </c>
      <c r="P9" s="14">
        <f>SUM(B9:O9)</f>
        <v>100</v>
      </c>
      <c r="Q9" s="14" t="str">
        <f>IF(P9=0,"vide",IF(P9=100,"ok","≠ 100"))</f>
        <v>ok</v>
      </c>
    </row>
    <row r="10" spans="1:17" x14ac:dyDescent="0.2">
      <c r="A10" s="11">
        <v>15</v>
      </c>
      <c r="B10" s="12">
        <v>40</v>
      </c>
      <c r="C10" s="12">
        <v>20</v>
      </c>
      <c r="D10" s="12">
        <v>12.5</v>
      </c>
      <c r="E10" s="12">
        <v>10</v>
      </c>
      <c r="F10" s="12">
        <v>10</v>
      </c>
      <c r="G10" s="12">
        <v>7.5</v>
      </c>
      <c r="H10" s="13" t="s">
        <v>66</v>
      </c>
      <c r="I10" s="13" t="s">
        <v>66</v>
      </c>
      <c r="J10" s="13" t="s">
        <v>66</v>
      </c>
      <c r="K10" s="13" t="s">
        <v>66</v>
      </c>
      <c r="L10" s="13" t="s">
        <v>66</v>
      </c>
      <c r="M10" s="13" t="s">
        <v>66</v>
      </c>
      <c r="N10" s="13" t="s">
        <v>66</v>
      </c>
      <c r="O10" s="13" t="s">
        <v>66</v>
      </c>
      <c r="P10" s="14">
        <f>SUM(B10:O10)</f>
        <v>100</v>
      </c>
      <c r="Q10" s="14" t="str">
        <f>IF(P10=0,"vide",IF(P10=100,"ok","≠ 100"))</f>
        <v>ok</v>
      </c>
    </row>
    <row r="11" spans="1:17" x14ac:dyDescent="0.2">
      <c r="A11" s="11">
        <v>20</v>
      </c>
      <c r="B11" s="12">
        <v>20</v>
      </c>
      <c r="C11" s="12">
        <v>15</v>
      </c>
      <c r="D11" s="12">
        <v>10</v>
      </c>
      <c r="E11" s="12">
        <v>15</v>
      </c>
      <c r="F11" s="12">
        <v>15</v>
      </c>
      <c r="G11" s="12">
        <v>10</v>
      </c>
      <c r="H11" s="12">
        <v>5</v>
      </c>
      <c r="I11" s="12">
        <v>5</v>
      </c>
      <c r="J11" s="12">
        <v>5</v>
      </c>
      <c r="K11" s="13" t="s">
        <v>66</v>
      </c>
      <c r="L11" s="13" t="s">
        <v>66</v>
      </c>
      <c r="M11" s="13" t="s">
        <v>66</v>
      </c>
      <c r="N11" s="13" t="s">
        <v>66</v>
      </c>
      <c r="O11" s="13" t="s">
        <v>66</v>
      </c>
      <c r="P11" s="14">
        <f>SUM(B11:O11)</f>
        <v>100</v>
      </c>
      <c r="Q11" s="14" t="str">
        <f>IF(P11=0,"vide",IF(P11=100,"ok","≠ 100"))</f>
        <v>ok</v>
      </c>
    </row>
    <row r="12" spans="1:17" x14ac:dyDescent="0.2">
      <c r="A12" s="11">
        <v>25</v>
      </c>
      <c r="B12" s="12">
        <v>5</v>
      </c>
      <c r="C12" s="12">
        <v>10</v>
      </c>
      <c r="D12" s="12">
        <v>10</v>
      </c>
      <c r="E12" s="12">
        <v>12.5</v>
      </c>
      <c r="F12" s="12">
        <v>12.5</v>
      </c>
      <c r="G12" s="12">
        <v>10</v>
      </c>
      <c r="H12" s="12">
        <v>10</v>
      </c>
      <c r="I12" s="12">
        <v>10</v>
      </c>
      <c r="J12" s="12">
        <v>10</v>
      </c>
      <c r="K12" s="12">
        <v>5</v>
      </c>
      <c r="L12" s="12">
        <v>5</v>
      </c>
      <c r="M12" s="13" t="s">
        <v>66</v>
      </c>
      <c r="N12" s="13" t="s">
        <v>66</v>
      </c>
      <c r="O12" s="13" t="s">
        <v>66</v>
      </c>
      <c r="P12" s="14">
        <f>SUM(B12:O12)</f>
        <v>100</v>
      </c>
      <c r="Q12" s="14" t="str">
        <f>IF(P12=0,"vide",IF(P12=100,"ok","≠ 100"))</f>
        <v>ok</v>
      </c>
    </row>
    <row r="13" spans="1:17" x14ac:dyDescent="0.2">
      <c r="A13" s="11">
        <v>30</v>
      </c>
      <c r="B13" s="12">
        <v>0</v>
      </c>
      <c r="C13" s="12">
        <v>5</v>
      </c>
      <c r="D13" s="12">
        <v>5</v>
      </c>
      <c r="E13" s="12">
        <v>10</v>
      </c>
      <c r="F13" s="12">
        <v>5</v>
      </c>
      <c r="G13" s="12">
        <v>10</v>
      </c>
      <c r="H13" s="12">
        <v>15</v>
      </c>
      <c r="I13" s="12">
        <v>13</v>
      </c>
      <c r="J13" s="12">
        <v>15</v>
      </c>
      <c r="K13" s="12">
        <v>10</v>
      </c>
      <c r="L13" s="12">
        <v>7</v>
      </c>
      <c r="M13" s="12">
        <v>5</v>
      </c>
      <c r="N13" s="13" t="s">
        <v>66</v>
      </c>
      <c r="O13" s="13" t="s">
        <v>66</v>
      </c>
      <c r="P13" s="14">
        <f>SUM(B13:O13)</f>
        <v>100</v>
      </c>
      <c r="Q13" s="14" t="str">
        <f>IF(P13=0,"vide",IF(P13=100,"ok","≠ 100"))</f>
        <v>ok</v>
      </c>
    </row>
    <row r="14" spans="1:17" x14ac:dyDescent="0.2">
      <c r="A14" s="11">
        <v>35</v>
      </c>
      <c r="B14" s="12">
        <v>0</v>
      </c>
      <c r="C14" s="12">
        <v>0</v>
      </c>
      <c r="D14" s="12">
        <v>5</v>
      </c>
      <c r="E14" s="12">
        <v>5</v>
      </c>
      <c r="F14" s="12">
        <v>3</v>
      </c>
      <c r="G14" s="12">
        <v>8</v>
      </c>
      <c r="H14" s="12">
        <v>10</v>
      </c>
      <c r="I14" s="12">
        <v>15</v>
      </c>
      <c r="J14" s="12">
        <v>15</v>
      </c>
      <c r="K14" s="12">
        <v>15</v>
      </c>
      <c r="L14" s="12">
        <v>9</v>
      </c>
      <c r="M14" s="12">
        <v>10</v>
      </c>
      <c r="N14" s="12">
        <v>5</v>
      </c>
      <c r="O14" s="13" t="s">
        <v>66</v>
      </c>
      <c r="P14" s="14">
        <f>SUM(B14:O14)</f>
        <v>100</v>
      </c>
      <c r="Q14" s="14" t="str">
        <f>IF(P14=0,"vide",IF(P14=100,"ok","≠ 100"))</f>
        <v>ok</v>
      </c>
    </row>
    <row r="15" spans="1:17" x14ac:dyDescent="0.2">
      <c r="A15" s="11">
        <v>40</v>
      </c>
      <c r="B15" s="12">
        <v>0</v>
      </c>
      <c r="C15" s="12">
        <v>0</v>
      </c>
      <c r="D15" s="12">
        <v>5</v>
      </c>
      <c r="E15" s="12">
        <v>5</v>
      </c>
      <c r="F15" s="12">
        <v>0</v>
      </c>
      <c r="G15" s="12">
        <v>5</v>
      </c>
      <c r="H15" s="12">
        <v>7</v>
      </c>
      <c r="I15" s="12">
        <v>13</v>
      </c>
      <c r="J15" s="12">
        <v>10</v>
      </c>
      <c r="K15" s="12">
        <v>17.5</v>
      </c>
      <c r="L15" s="12">
        <v>10</v>
      </c>
      <c r="M15" s="12">
        <v>12.5</v>
      </c>
      <c r="N15" s="12">
        <v>10</v>
      </c>
      <c r="O15" s="12">
        <v>5</v>
      </c>
      <c r="P15" s="14">
        <f>SUM(B15:O15)</f>
        <v>100</v>
      </c>
      <c r="Q15" s="14" t="str">
        <f>IF(P15=0,"vide",IF(P15=100,"ok","≠ 100"))</f>
        <v>ok</v>
      </c>
    </row>
    <row r="16" spans="1:17" x14ac:dyDescent="0.2">
      <c r="A16" s="11">
        <v>45</v>
      </c>
      <c r="B16" s="12">
        <v>0</v>
      </c>
      <c r="C16" s="12">
        <v>0</v>
      </c>
      <c r="D16" s="12">
        <v>5</v>
      </c>
      <c r="E16" s="12">
        <v>5</v>
      </c>
      <c r="F16" s="12">
        <v>0</v>
      </c>
      <c r="G16" s="12">
        <v>5</v>
      </c>
      <c r="H16" s="12">
        <v>5</v>
      </c>
      <c r="I16" s="12">
        <v>10</v>
      </c>
      <c r="J16" s="12">
        <v>10</v>
      </c>
      <c r="K16" s="12">
        <v>15</v>
      </c>
      <c r="L16" s="12">
        <v>10</v>
      </c>
      <c r="M16" s="12">
        <v>15</v>
      </c>
      <c r="N16" s="12">
        <v>10</v>
      </c>
      <c r="O16" s="12">
        <v>10</v>
      </c>
      <c r="P16" s="14">
        <f>SUM(B16:O16)</f>
        <v>100</v>
      </c>
      <c r="Q16" s="14" t="str">
        <f>IF(P16=0,"vide",IF(P16=100,"ok","≠ 100"))</f>
        <v>ok</v>
      </c>
    </row>
    <row r="17" spans="1:17" x14ac:dyDescent="0.2">
      <c r="A17" s="11">
        <v>50</v>
      </c>
      <c r="B17" s="12">
        <v>0</v>
      </c>
      <c r="C17" s="12">
        <v>0</v>
      </c>
      <c r="D17" s="12">
        <v>0</v>
      </c>
      <c r="E17" s="12">
        <v>5</v>
      </c>
      <c r="F17" s="12">
        <v>0</v>
      </c>
      <c r="G17" s="12">
        <v>5</v>
      </c>
      <c r="H17" s="12">
        <v>5</v>
      </c>
      <c r="I17" s="12">
        <v>10</v>
      </c>
      <c r="J17" s="12">
        <v>10</v>
      </c>
      <c r="K17" s="12">
        <v>15</v>
      </c>
      <c r="L17" s="12">
        <v>10</v>
      </c>
      <c r="M17" s="12">
        <v>20</v>
      </c>
      <c r="N17" s="12">
        <v>10</v>
      </c>
      <c r="O17" s="12">
        <v>10</v>
      </c>
      <c r="P17" s="14">
        <f>SUM(B17:O17)</f>
        <v>100</v>
      </c>
      <c r="Q17" s="14" t="str">
        <f>IF(P17=0,"vide",IF(P17=100,"ok","≠ 100"))</f>
        <v>ok</v>
      </c>
    </row>
    <row r="19" spans="1:17" x14ac:dyDescent="0.2">
      <c r="A19" s="4" t="s">
        <v>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9"/>
  <sheetViews>
    <sheetView tabSelected="1" topLeftCell="P4" zoomScaleNormal="100" workbookViewId="0">
      <selection activeCell="S18" sqref="S18"/>
    </sheetView>
  </sheetViews>
  <sheetFormatPr defaultColWidth="8.7421875" defaultRowHeight="15" x14ac:dyDescent="0.2"/>
  <cols>
    <col min="1" max="1" width="27.171875" customWidth="1"/>
    <col min="2" max="18" width="11.02734375" customWidth="1"/>
    <col min="19" max="19" width="9.01171875" customWidth="1"/>
    <col min="20" max="20" width="11.02734375" customWidth="1"/>
  </cols>
  <sheetData>
    <row r="1" spans="1:20" ht="18" x14ac:dyDescent="0.2">
      <c r="A1" s="1" t="s">
        <v>68</v>
      </c>
    </row>
    <row r="2" spans="1:20" x14ac:dyDescent="0.2">
      <c r="A2" s="4" t="s">
        <v>69</v>
      </c>
    </row>
    <row r="4" spans="1:20" ht="117.75" customHeight="1" x14ac:dyDescent="0.2">
      <c r="A4" s="5"/>
      <c r="B4" s="6" t="s">
        <v>70</v>
      </c>
      <c r="C4" s="6" t="s">
        <v>71</v>
      </c>
      <c r="D4" s="6" t="s">
        <v>72</v>
      </c>
      <c r="E4" s="6" t="s">
        <v>73</v>
      </c>
      <c r="F4" s="6" t="s">
        <v>74</v>
      </c>
      <c r="G4" s="6" t="s">
        <v>73</v>
      </c>
      <c r="H4" s="6" t="s">
        <v>75</v>
      </c>
      <c r="I4" s="6" t="s">
        <v>71</v>
      </c>
      <c r="J4" s="6" t="s">
        <v>70</v>
      </c>
      <c r="K4" s="6" t="s">
        <v>76</v>
      </c>
      <c r="L4" s="6" t="s">
        <v>77</v>
      </c>
      <c r="M4" s="6" t="s">
        <v>70</v>
      </c>
      <c r="N4" s="6" t="s">
        <v>78</v>
      </c>
      <c r="O4" s="6" t="s">
        <v>79</v>
      </c>
      <c r="P4" s="6" t="s">
        <v>73</v>
      </c>
      <c r="Q4" s="6" t="s">
        <v>80</v>
      </c>
      <c r="R4" s="6" t="s">
        <v>81</v>
      </c>
    </row>
    <row r="5" spans="1:20" x14ac:dyDescent="0.2">
      <c r="A5" s="7" t="s">
        <v>34</v>
      </c>
      <c r="B5" s="8" t="s">
        <v>35</v>
      </c>
      <c r="C5" s="8" t="s">
        <v>36</v>
      </c>
      <c r="D5" s="8" t="s">
        <v>82</v>
      </c>
      <c r="E5" s="8" t="s">
        <v>37</v>
      </c>
      <c r="F5" s="8" t="s">
        <v>83</v>
      </c>
      <c r="G5" s="8" t="s">
        <v>39</v>
      </c>
      <c r="H5" s="8" t="s">
        <v>84</v>
      </c>
      <c r="I5" s="8" t="s">
        <v>41</v>
      </c>
      <c r="J5" s="8" t="s">
        <v>42</v>
      </c>
      <c r="K5" s="8" t="s">
        <v>85</v>
      </c>
      <c r="L5" s="8" t="s">
        <v>86</v>
      </c>
      <c r="M5" s="8" t="s">
        <v>44</v>
      </c>
      <c r="N5" s="8" t="s">
        <v>87</v>
      </c>
      <c r="O5" s="8" t="s">
        <v>88</v>
      </c>
      <c r="P5" s="8" t="s">
        <v>46</v>
      </c>
      <c r="Q5" s="8" t="s">
        <v>89</v>
      </c>
      <c r="R5" s="8" t="s">
        <v>90</v>
      </c>
      <c r="S5" s="8" t="s">
        <v>49</v>
      </c>
      <c r="T5" s="8" t="s">
        <v>50</v>
      </c>
    </row>
    <row r="6" spans="1:20" x14ac:dyDescent="0.2">
      <c r="A6" s="9" t="s">
        <v>51</v>
      </c>
      <c r="B6" s="10" t="s">
        <v>52</v>
      </c>
      <c r="C6" s="10" t="s">
        <v>53</v>
      </c>
      <c r="D6" s="10" t="s">
        <v>91</v>
      </c>
      <c r="E6" s="10" t="s">
        <v>54</v>
      </c>
      <c r="F6" s="10" t="s">
        <v>54</v>
      </c>
      <c r="G6" s="10" t="s">
        <v>56</v>
      </c>
      <c r="H6" s="10" t="s">
        <v>57</v>
      </c>
      <c r="I6" s="10" t="s">
        <v>58</v>
      </c>
      <c r="J6" s="10" t="s">
        <v>59</v>
      </c>
      <c r="K6" s="10" t="s">
        <v>59</v>
      </c>
      <c r="L6" s="10" t="s">
        <v>60</v>
      </c>
      <c r="M6" s="10" t="s">
        <v>61</v>
      </c>
      <c r="N6" s="10" t="s">
        <v>62</v>
      </c>
      <c r="O6" s="10" t="s">
        <v>92</v>
      </c>
      <c r="P6" s="10" t="s">
        <v>63</v>
      </c>
      <c r="Q6" s="10" t="s">
        <v>93</v>
      </c>
      <c r="R6" s="10" t="s">
        <v>64</v>
      </c>
    </row>
    <row r="7" spans="1:20" x14ac:dyDescent="0.2">
      <c r="A7" s="11">
        <v>0</v>
      </c>
      <c r="B7" s="12">
        <v>100</v>
      </c>
      <c r="C7" s="13" t="s">
        <v>66</v>
      </c>
      <c r="D7" s="13" t="s">
        <v>66</v>
      </c>
      <c r="E7" s="13" t="s">
        <v>66</v>
      </c>
      <c r="F7" s="13" t="s">
        <v>66</v>
      </c>
      <c r="G7" s="13" t="s">
        <v>66</v>
      </c>
      <c r="H7" s="13" t="s">
        <v>66</v>
      </c>
      <c r="I7" s="13" t="s">
        <v>66</v>
      </c>
      <c r="J7" s="13" t="s">
        <v>66</v>
      </c>
      <c r="K7" s="13" t="s">
        <v>66</v>
      </c>
      <c r="L7" s="13" t="s">
        <v>66</v>
      </c>
      <c r="M7" s="13" t="s">
        <v>66</v>
      </c>
      <c r="N7" s="13" t="s">
        <v>66</v>
      </c>
      <c r="O7" s="13" t="s">
        <v>66</v>
      </c>
      <c r="P7" s="13" t="s">
        <v>66</v>
      </c>
      <c r="Q7" s="13" t="s">
        <v>66</v>
      </c>
      <c r="R7" s="13" t="s">
        <v>66</v>
      </c>
      <c r="S7" s="14">
        <f>SUM(B7:R7)</f>
        <v>100</v>
      </c>
      <c r="T7" s="14" t="str">
        <f>IF(S7=0,"vide",IF(S7=100,"ok","≠ 100"))</f>
        <v>ok</v>
      </c>
    </row>
    <row r="8" spans="1:20" x14ac:dyDescent="0.2">
      <c r="A8" s="11">
        <v>5</v>
      </c>
      <c r="B8" s="12">
        <v>75</v>
      </c>
      <c r="C8" s="12">
        <v>25</v>
      </c>
      <c r="D8" s="13" t="s">
        <v>66</v>
      </c>
      <c r="E8" s="13" t="s">
        <v>66</v>
      </c>
      <c r="F8" s="13" t="s">
        <v>66</v>
      </c>
      <c r="G8" s="13" t="s">
        <v>66</v>
      </c>
      <c r="H8" s="13" t="s">
        <v>66</v>
      </c>
      <c r="I8" s="13" t="s">
        <v>66</v>
      </c>
      <c r="J8" s="13" t="s">
        <v>66</v>
      </c>
      <c r="K8" s="13" t="s">
        <v>66</v>
      </c>
      <c r="L8" s="13" t="s">
        <v>66</v>
      </c>
      <c r="M8" s="13" t="s">
        <v>66</v>
      </c>
      <c r="N8" s="13" t="s">
        <v>66</v>
      </c>
      <c r="O8" s="13" t="s">
        <v>66</v>
      </c>
      <c r="P8" s="13" t="s">
        <v>66</v>
      </c>
      <c r="Q8" s="13" t="s">
        <v>66</v>
      </c>
      <c r="R8" s="13" t="s">
        <v>66</v>
      </c>
      <c r="S8" s="14">
        <f>SUM(B8:R8)</f>
        <v>100</v>
      </c>
      <c r="T8" s="14" t="str">
        <f>IF(S8=0,"vide",IF(S8=100,"ok","≠ 100"))</f>
        <v>ok</v>
      </c>
    </row>
    <row r="9" spans="1:20" x14ac:dyDescent="0.2">
      <c r="A9" s="11">
        <v>10</v>
      </c>
      <c r="B9" s="12">
        <v>40</v>
      </c>
      <c r="C9" s="12">
        <v>25</v>
      </c>
      <c r="D9" s="12">
        <v>15</v>
      </c>
      <c r="E9" s="12">
        <v>10</v>
      </c>
      <c r="F9" s="12">
        <v>10</v>
      </c>
      <c r="G9" s="13" t="s">
        <v>66</v>
      </c>
      <c r="H9" s="13" t="s">
        <v>66</v>
      </c>
      <c r="I9" s="13" t="s">
        <v>66</v>
      </c>
      <c r="J9" s="13" t="s">
        <v>66</v>
      </c>
      <c r="K9" s="13" t="s">
        <v>66</v>
      </c>
      <c r="L9" s="13" t="s">
        <v>66</v>
      </c>
      <c r="M9" s="13" t="s">
        <v>66</v>
      </c>
      <c r="N9" s="13" t="s">
        <v>66</v>
      </c>
      <c r="O9" s="13" t="s">
        <v>66</v>
      </c>
      <c r="P9" s="13" t="s">
        <v>66</v>
      </c>
      <c r="Q9" s="13" t="s">
        <v>66</v>
      </c>
      <c r="R9" s="13" t="s">
        <v>66</v>
      </c>
      <c r="S9" s="14">
        <f>SUM(B9:R9)</f>
        <v>100</v>
      </c>
      <c r="T9" s="14" t="str">
        <f>IF(S9=0,"vide",IF(S9=100,"ok","≠ 100"))</f>
        <v>ok</v>
      </c>
    </row>
    <row r="10" spans="1:20" x14ac:dyDescent="0.2">
      <c r="A10" s="11">
        <v>15</v>
      </c>
      <c r="B10" s="12">
        <v>25</v>
      </c>
      <c r="C10" s="12">
        <v>15</v>
      </c>
      <c r="D10" s="12">
        <v>15</v>
      </c>
      <c r="E10" s="12">
        <v>10</v>
      </c>
      <c r="F10" s="12">
        <v>15</v>
      </c>
      <c r="G10" s="12">
        <v>10</v>
      </c>
      <c r="H10" s="12">
        <v>10</v>
      </c>
      <c r="I10" s="13" t="s">
        <v>66</v>
      </c>
      <c r="J10" s="13" t="s">
        <v>66</v>
      </c>
      <c r="K10" s="13" t="s">
        <v>66</v>
      </c>
      <c r="L10" s="13" t="s">
        <v>66</v>
      </c>
      <c r="M10" s="13" t="s">
        <v>66</v>
      </c>
      <c r="N10" s="13" t="s">
        <v>66</v>
      </c>
      <c r="O10" s="13" t="s">
        <v>66</v>
      </c>
      <c r="P10" s="13" t="s">
        <v>66</v>
      </c>
      <c r="Q10" s="13" t="s">
        <v>66</v>
      </c>
      <c r="R10" s="13" t="s">
        <v>66</v>
      </c>
      <c r="S10" s="14">
        <f>SUM(B10:R10)</f>
        <v>100</v>
      </c>
      <c r="T10" s="14" t="str">
        <f>IF(S10=0,"vide",IF(S10=100,"ok","≠ 100"))</f>
        <v>ok</v>
      </c>
    </row>
    <row r="11" spans="1:20" x14ac:dyDescent="0.2">
      <c r="A11" s="11">
        <v>20</v>
      </c>
      <c r="B11" s="12">
        <v>10</v>
      </c>
      <c r="C11" s="12">
        <v>10</v>
      </c>
      <c r="D11" s="12">
        <v>10</v>
      </c>
      <c r="E11" s="12">
        <v>5</v>
      </c>
      <c r="F11" s="12">
        <v>12</v>
      </c>
      <c r="G11" s="12">
        <v>13</v>
      </c>
      <c r="H11" s="12">
        <v>10</v>
      </c>
      <c r="I11" s="12">
        <v>10</v>
      </c>
      <c r="J11" s="12">
        <v>10</v>
      </c>
      <c r="K11" s="12">
        <v>5</v>
      </c>
      <c r="L11" s="12">
        <v>5</v>
      </c>
      <c r="M11" s="13" t="s">
        <v>66</v>
      </c>
      <c r="N11" s="13" t="s">
        <v>66</v>
      </c>
      <c r="O11" s="13" t="s">
        <v>66</v>
      </c>
      <c r="P11" s="13" t="s">
        <v>66</v>
      </c>
      <c r="Q11" s="13" t="s">
        <v>66</v>
      </c>
      <c r="R11" s="13" t="s">
        <v>66</v>
      </c>
      <c r="S11" s="14">
        <f>SUM(B11:R11)</f>
        <v>100</v>
      </c>
      <c r="T11" s="14" t="str">
        <f>IF(S11=0,"vide",IF(S11=100,"ok","≠ 100"))</f>
        <v>ok</v>
      </c>
    </row>
    <row r="12" spans="1:20" x14ac:dyDescent="0.2">
      <c r="A12" s="11">
        <v>25</v>
      </c>
      <c r="B12" s="12">
        <v>5</v>
      </c>
      <c r="C12" s="12">
        <v>5</v>
      </c>
      <c r="D12" s="12">
        <v>5</v>
      </c>
      <c r="E12" s="12">
        <v>5</v>
      </c>
      <c r="F12" s="12">
        <v>10</v>
      </c>
      <c r="G12" s="12">
        <v>15</v>
      </c>
      <c r="H12" s="12">
        <v>10</v>
      </c>
      <c r="I12" s="12">
        <v>10</v>
      </c>
      <c r="J12" s="12">
        <v>10</v>
      </c>
      <c r="K12" s="12">
        <v>5</v>
      </c>
      <c r="L12" s="12">
        <v>5</v>
      </c>
      <c r="M12" s="12">
        <v>7</v>
      </c>
      <c r="N12" s="12">
        <v>8</v>
      </c>
      <c r="O12" s="13" t="s">
        <v>66</v>
      </c>
      <c r="P12" s="13" t="s">
        <v>66</v>
      </c>
      <c r="Q12" s="13" t="s">
        <v>66</v>
      </c>
      <c r="R12" s="13" t="s">
        <v>66</v>
      </c>
      <c r="S12" s="14">
        <f>SUM(B12:R12)</f>
        <v>100</v>
      </c>
      <c r="T12" s="14" t="str">
        <f>IF(S12=0,"vide",IF(S12=100,"ok","≠ 100"))</f>
        <v>ok</v>
      </c>
    </row>
    <row r="13" spans="1:20" x14ac:dyDescent="0.2">
      <c r="A13" s="11">
        <v>30</v>
      </c>
      <c r="B13" s="12">
        <v>5</v>
      </c>
      <c r="C13" s="12">
        <v>5</v>
      </c>
      <c r="D13" s="12">
        <v>5</v>
      </c>
      <c r="E13" s="12">
        <v>5</v>
      </c>
      <c r="F13" s="12">
        <v>10</v>
      </c>
      <c r="G13" s="12">
        <v>10</v>
      </c>
      <c r="H13" s="12">
        <v>10</v>
      </c>
      <c r="I13" s="12">
        <v>10</v>
      </c>
      <c r="J13" s="12">
        <v>10</v>
      </c>
      <c r="K13" s="12">
        <v>5</v>
      </c>
      <c r="L13" s="12">
        <v>5</v>
      </c>
      <c r="M13" s="12">
        <v>7</v>
      </c>
      <c r="N13" s="12">
        <v>5</v>
      </c>
      <c r="O13" s="12">
        <v>2</v>
      </c>
      <c r="P13" s="12">
        <v>5</v>
      </c>
      <c r="Q13" s="12">
        <v>1</v>
      </c>
      <c r="R13" s="13" t="s">
        <v>66</v>
      </c>
      <c r="S13" s="14">
        <f>SUM(B13:R13)</f>
        <v>100</v>
      </c>
      <c r="T13" s="14" t="str">
        <f>IF(S13=0,"vide",IF(S13=100,"ok","≠ 100"))</f>
        <v>ok</v>
      </c>
    </row>
    <row r="14" spans="1:20" x14ac:dyDescent="0.2">
      <c r="A14" s="11">
        <v>35</v>
      </c>
      <c r="B14" s="12">
        <v>4</v>
      </c>
      <c r="C14" s="12">
        <v>4</v>
      </c>
      <c r="D14" s="12">
        <v>5</v>
      </c>
      <c r="E14" s="12">
        <v>5</v>
      </c>
      <c r="F14" s="12">
        <v>8</v>
      </c>
      <c r="G14" s="12">
        <v>10</v>
      </c>
      <c r="H14" s="12">
        <v>10</v>
      </c>
      <c r="I14" s="12">
        <v>10</v>
      </c>
      <c r="J14" s="12">
        <v>10</v>
      </c>
      <c r="K14" s="12">
        <v>5</v>
      </c>
      <c r="L14" s="12">
        <v>5</v>
      </c>
      <c r="M14" s="12">
        <v>8</v>
      </c>
      <c r="N14" s="12">
        <v>5</v>
      </c>
      <c r="O14" s="12">
        <v>3</v>
      </c>
      <c r="P14" s="12">
        <v>5</v>
      </c>
      <c r="Q14" s="12">
        <v>2</v>
      </c>
      <c r="R14" s="12">
        <v>1</v>
      </c>
      <c r="S14" s="14">
        <f>SUM(B14:R14)</f>
        <v>100</v>
      </c>
      <c r="T14" s="14" t="str">
        <f>IF(S14=0,"vide",IF(S14=100,"ok","≠ 100"))</f>
        <v>ok</v>
      </c>
    </row>
    <row r="15" spans="1:20" x14ac:dyDescent="0.2">
      <c r="A15" s="11">
        <v>40</v>
      </c>
      <c r="B15" s="12">
        <v>3</v>
      </c>
      <c r="C15" s="12">
        <v>3</v>
      </c>
      <c r="D15" s="12">
        <v>5</v>
      </c>
      <c r="E15" s="12">
        <v>5</v>
      </c>
      <c r="F15" s="12">
        <v>8</v>
      </c>
      <c r="G15" s="12">
        <v>8</v>
      </c>
      <c r="H15" s="12">
        <v>10</v>
      </c>
      <c r="I15" s="12">
        <v>10</v>
      </c>
      <c r="J15" s="12">
        <v>10</v>
      </c>
      <c r="K15" s="12">
        <v>5</v>
      </c>
      <c r="L15" s="12">
        <v>5</v>
      </c>
      <c r="M15" s="12">
        <v>8</v>
      </c>
      <c r="N15" s="12">
        <v>5</v>
      </c>
      <c r="O15" s="12">
        <v>4</v>
      </c>
      <c r="P15" s="12">
        <v>6</v>
      </c>
      <c r="Q15" s="12">
        <v>3</v>
      </c>
      <c r="R15" s="12">
        <v>2</v>
      </c>
      <c r="S15" s="14">
        <f>SUM(B15:R15)</f>
        <v>100</v>
      </c>
      <c r="T15" s="14" t="str">
        <f>IF(S15=0,"vide",IF(S15=100,"ok","≠ 100"))</f>
        <v>ok</v>
      </c>
    </row>
    <row r="16" spans="1:20" x14ac:dyDescent="0.2">
      <c r="A16" s="11">
        <v>45</v>
      </c>
      <c r="B16" s="12">
        <v>2</v>
      </c>
      <c r="C16" s="12">
        <v>2</v>
      </c>
      <c r="D16" s="12">
        <v>5</v>
      </c>
      <c r="E16" s="12">
        <v>5</v>
      </c>
      <c r="F16" s="12">
        <v>8</v>
      </c>
      <c r="G16" s="12">
        <v>5</v>
      </c>
      <c r="H16" s="12">
        <v>10</v>
      </c>
      <c r="I16" s="12">
        <v>10</v>
      </c>
      <c r="J16" s="12">
        <v>10</v>
      </c>
      <c r="K16" s="12">
        <v>5</v>
      </c>
      <c r="L16" s="12">
        <v>5</v>
      </c>
      <c r="M16" s="12">
        <v>9</v>
      </c>
      <c r="N16" s="12">
        <v>5</v>
      </c>
      <c r="O16" s="12">
        <v>4</v>
      </c>
      <c r="P16" s="12">
        <v>8</v>
      </c>
      <c r="Q16" s="12">
        <v>4</v>
      </c>
      <c r="R16" s="12">
        <v>3</v>
      </c>
      <c r="S16" s="14">
        <f>SUM(B16:R16)</f>
        <v>100</v>
      </c>
      <c r="T16" s="14" t="str">
        <f>IF(S16=0,"vide",IF(S16=100,"ok","≠ 100"))</f>
        <v>ok</v>
      </c>
    </row>
    <row r="17" spans="1:20" x14ac:dyDescent="0.2">
      <c r="A17" s="11">
        <v>50</v>
      </c>
      <c r="B17" s="12">
        <v>1</v>
      </c>
      <c r="C17" s="12">
        <v>1</v>
      </c>
      <c r="D17" s="12">
        <v>5</v>
      </c>
      <c r="E17" s="12">
        <v>5</v>
      </c>
      <c r="F17" s="12">
        <v>8</v>
      </c>
      <c r="G17" s="12">
        <v>0</v>
      </c>
      <c r="H17" s="12">
        <v>10</v>
      </c>
      <c r="I17" s="12">
        <v>10</v>
      </c>
      <c r="J17" s="12">
        <v>10</v>
      </c>
      <c r="K17" s="12">
        <v>5</v>
      </c>
      <c r="L17" s="12">
        <v>5</v>
      </c>
      <c r="M17" s="12">
        <v>10</v>
      </c>
      <c r="N17" s="12">
        <v>5</v>
      </c>
      <c r="O17" s="12">
        <v>5</v>
      </c>
      <c r="P17" s="12">
        <v>10</v>
      </c>
      <c r="Q17" s="12">
        <v>5</v>
      </c>
      <c r="R17" s="12">
        <v>5</v>
      </c>
      <c r="S17" s="14">
        <f>SUM(B17:R17)</f>
        <v>100</v>
      </c>
      <c r="T17" s="14" t="str">
        <f>IF(S17=0,"vide",IF(S17=100,"ok","≠ 100"))</f>
        <v>ok</v>
      </c>
    </row>
    <row r="18" spans="1:20" x14ac:dyDescent="0.2">
      <c r="A18" t="s">
        <v>101</v>
      </c>
      <c r="B18">
        <v>10</v>
      </c>
      <c r="C18">
        <v>10</v>
      </c>
      <c r="D18">
        <v>2</v>
      </c>
      <c r="E18">
        <v>20</v>
      </c>
      <c r="F18">
        <v>20</v>
      </c>
      <c r="G18">
        <v>30</v>
      </c>
      <c r="H18">
        <v>20</v>
      </c>
      <c r="I18">
        <v>20</v>
      </c>
      <c r="J18">
        <v>25</v>
      </c>
      <c r="K18">
        <v>30</v>
      </c>
      <c r="L18">
        <v>2</v>
      </c>
      <c r="M18">
        <v>30</v>
      </c>
      <c r="N18">
        <v>2</v>
      </c>
      <c r="O18">
        <v>40</v>
      </c>
      <c r="P18">
        <v>60</v>
      </c>
      <c r="Q18">
        <v>40</v>
      </c>
      <c r="R18">
        <v>40</v>
      </c>
      <c r="S18" t="s">
        <v>102</v>
      </c>
    </row>
    <row r="19" spans="1:20" x14ac:dyDescent="0.2">
      <c r="A19" s="4" t="s">
        <v>67</v>
      </c>
    </row>
  </sheetData>
  <autoFilter ref="A4:T17" xr:uid="{00000000-0001-0000-0200-000000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zoomScaleNormal="100" workbookViewId="0">
      <pane ySplit="4" topLeftCell="A5" activePane="bottomLeft" state="frozen"/>
      <selection pane="bottomLeft"/>
    </sheetView>
  </sheetViews>
  <sheetFormatPr defaultColWidth="8.7421875" defaultRowHeight="15" x14ac:dyDescent="0.2"/>
  <cols>
    <col min="1" max="1" width="9.01171875" customWidth="1"/>
    <col min="2" max="2" width="13.98828125" customWidth="1"/>
    <col min="3" max="3" width="11.02734375" customWidth="1"/>
    <col min="4" max="4" width="34.03125" customWidth="1"/>
  </cols>
  <sheetData>
    <row r="1" spans="1:4" ht="18" x14ac:dyDescent="0.2">
      <c r="A1" s="1" t="s">
        <v>94</v>
      </c>
    </row>
    <row r="2" spans="1:4" x14ac:dyDescent="0.2">
      <c r="A2" s="4" t="s">
        <v>95</v>
      </c>
    </row>
    <row r="4" spans="1:4" x14ac:dyDescent="0.2">
      <c r="A4" s="8" t="s">
        <v>34</v>
      </c>
      <c r="B4" s="8" t="s">
        <v>96</v>
      </c>
      <c r="C4" s="8" t="s">
        <v>97</v>
      </c>
      <c r="D4" s="8" t="s">
        <v>98</v>
      </c>
    </row>
    <row r="5" spans="1:4" x14ac:dyDescent="0.2">
      <c r="A5" s="14">
        <v>0</v>
      </c>
      <c r="B5" s="15" t="s">
        <v>35</v>
      </c>
      <c r="C5" s="15" t="s">
        <v>99</v>
      </c>
      <c r="D5" s="16" t="s">
        <v>25</v>
      </c>
    </row>
    <row r="6" spans="1:4" x14ac:dyDescent="0.2">
      <c r="A6" s="14">
        <v>0</v>
      </c>
      <c r="B6" s="15" t="s">
        <v>35</v>
      </c>
      <c r="C6" s="15" t="s">
        <v>100</v>
      </c>
      <c r="D6" s="16" t="s">
        <v>70</v>
      </c>
    </row>
    <row r="7" spans="1:4" x14ac:dyDescent="0.2">
      <c r="A7" s="14">
        <v>4</v>
      </c>
      <c r="B7" s="15" t="s">
        <v>36</v>
      </c>
      <c r="C7" s="15" t="s">
        <v>99</v>
      </c>
      <c r="D7" s="16" t="s">
        <v>26</v>
      </c>
    </row>
    <row r="8" spans="1:4" x14ac:dyDescent="0.2">
      <c r="A8" s="14">
        <v>4</v>
      </c>
      <c r="B8" s="15" t="s">
        <v>36</v>
      </c>
      <c r="C8" s="15" t="s">
        <v>100</v>
      </c>
      <c r="D8" s="16" t="s">
        <v>71</v>
      </c>
    </row>
    <row r="9" spans="1:4" x14ac:dyDescent="0.2">
      <c r="A9" s="14">
        <v>6</v>
      </c>
      <c r="B9" s="15" t="s">
        <v>82</v>
      </c>
      <c r="C9" s="15" t="s">
        <v>100</v>
      </c>
      <c r="D9" s="16" t="s">
        <v>72</v>
      </c>
    </row>
    <row r="10" spans="1:4" x14ac:dyDescent="0.2">
      <c r="A10" s="14">
        <v>8</v>
      </c>
      <c r="B10" s="15" t="s">
        <v>83</v>
      </c>
      <c r="C10" s="15" t="s">
        <v>100</v>
      </c>
      <c r="D10" s="16" t="s">
        <v>74</v>
      </c>
    </row>
    <row r="11" spans="1:4" x14ac:dyDescent="0.2">
      <c r="A11" s="14">
        <v>8</v>
      </c>
      <c r="B11" s="15" t="s">
        <v>37</v>
      </c>
      <c r="C11" s="15" t="s">
        <v>99</v>
      </c>
      <c r="D11" s="16" t="s">
        <v>27</v>
      </c>
    </row>
    <row r="12" spans="1:4" x14ac:dyDescent="0.2">
      <c r="A12" s="14">
        <v>8</v>
      </c>
      <c r="B12" s="15" t="s">
        <v>37</v>
      </c>
      <c r="C12" s="15" t="s">
        <v>100</v>
      </c>
      <c r="D12" s="16" t="s">
        <v>73</v>
      </c>
    </row>
    <row r="13" spans="1:4" x14ac:dyDescent="0.2">
      <c r="A13" s="14">
        <v>10</v>
      </c>
      <c r="B13" s="15" t="s">
        <v>38</v>
      </c>
      <c r="C13" s="15" t="s">
        <v>99</v>
      </c>
      <c r="D13" s="16" t="s">
        <v>28</v>
      </c>
    </row>
    <row r="14" spans="1:4" x14ac:dyDescent="0.2">
      <c r="A14" s="14">
        <v>12</v>
      </c>
      <c r="B14" s="15" t="s">
        <v>39</v>
      </c>
      <c r="C14" s="15" t="s">
        <v>99</v>
      </c>
      <c r="D14" s="16" t="s">
        <v>29</v>
      </c>
    </row>
    <row r="15" spans="1:4" x14ac:dyDescent="0.2">
      <c r="A15" s="14">
        <v>12</v>
      </c>
      <c r="B15" s="15" t="s">
        <v>39</v>
      </c>
      <c r="C15" s="15" t="s">
        <v>100</v>
      </c>
      <c r="D15" s="16" t="s">
        <v>73</v>
      </c>
    </row>
    <row r="16" spans="1:4" x14ac:dyDescent="0.2">
      <c r="A16" s="14">
        <v>14</v>
      </c>
      <c r="B16" s="15" t="s">
        <v>84</v>
      </c>
      <c r="C16" s="15" t="s">
        <v>100</v>
      </c>
      <c r="D16" s="16" t="s">
        <v>75</v>
      </c>
    </row>
    <row r="17" spans="1:4" x14ac:dyDescent="0.2">
      <c r="A17" s="14">
        <v>14</v>
      </c>
      <c r="B17" s="15" t="s">
        <v>40</v>
      </c>
      <c r="C17" s="15" t="s">
        <v>99</v>
      </c>
      <c r="D17" s="16" t="s">
        <v>30</v>
      </c>
    </row>
    <row r="18" spans="1:4" x14ac:dyDescent="0.2">
      <c r="A18" s="14">
        <v>16</v>
      </c>
      <c r="B18" s="15" t="s">
        <v>41</v>
      </c>
      <c r="C18" s="15" t="s">
        <v>99</v>
      </c>
      <c r="D18" s="16" t="s">
        <v>31</v>
      </c>
    </row>
    <row r="19" spans="1:4" x14ac:dyDescent="0.2">
      <c r="A19" s="14">
        <v>16</v>
      </c>
      <c r="B19" s="15" t="s">
        <v>41</v>
      </c>
      <c r="C19" s="15" t="s">
        <v>100</v>
      </c>
      <c r="D19" s="16" t="s">
        <v>71</v>
      </c>
    </row>
    <row r="20" spans="1:4" x14ac:dyDescent="0.2">
      <c r="A20" s="14">
        <v>18</v>
      </c>
      <c r="B20" s="15" t="s">
        <v>85</v>
      </c>
      <c r="C20" s="15" t="s">
        <v>100</v>
      </c>
      <c r="D20" s="16" t="s">
        <v>76</v>
      </c>
    </row>
    <row r="21" spans="1:4" x14ac:dyDescent="0.2">
      <c r="A21" s="14">
        <v>18</v>
      </c>
      <c r="B21" s="15" t="s">
        <v>42</v>
      </c>
      <c r="C21" s="15" t="s">
        <v>99</v>
      </c>
      <c r="D21" s="16" t="s">
        <v>32</v>
      </c>
    </row>
    <row r="22" spans="1:4" x14ac:dyDescent="0.2">
      <c r="A22" s="14">
        <v>18</v>
      </c>
      <c r="B22" s="15" t="s">
        <v>42</v>
      </c>
      <c r="C22" s="15" t="s">
        <v>100</v>
      </c>
      <c r="D22" s="16" t="s">
        <v>70</v>
      </c>
    </row>
    <row r="23" spans="1:4" x14ac:dyDescent="0.2">
      <c r="A23" s="14">
        <v>20</v>
      </c>
      <c r="B23" s="15" t="s">
        <v>43</v>
      </c>
      <c r="C23" s="15" t="s">
        <v>99</v>
      </c>
      <c r="D23" s="16" t="s">
        <v>33</v>
      </c>
    </row>
    <row r="24" spans="1:4" x14ac:dyDescent="0.2">
      <c r="A24" s="14">
        <v>20</v>
      </c>
      <c r="B24" s="15" t="s">
        <v>86</v>
      </c>
      <c r="C24" s="15" t="s">
        <v>100</v>
      </c>
      <c r="D24" s="16" t="s">
        <v>77</v>
      </c>
    </row>
    <row r="25" spans="1:4" x14ac:dyDescent="0.2">
      <c r="A25" s="14">
        <v>22</v>
      </c>
      <c r="B25" s="15" t="s">
        <v>44</v>
      </c>
      <c r="C25" s="15" t="s">
        <v>99</v>
      </c>
      <c r="D25" s="16" t="s">
        <v>25</v>
      </c>
    </row>
    <row r="26" spans="1:4" x14ac:dyDescent="0.2">
      <c r="A26" s="14">
        <v>22</v>
      </c>
      <c r="B26" s="15" t="s">
        <v>44</v>
      </c>
      <c r="C26" s="15" t="s">
        <v>100</v>
      </c>
      <c r="D26" s="16" t="s">
        <v>70</v>
      </c>
    </row>
    <row r="27" spans="1:4" x14ac:dyDescent="0.2">
      <c r="A27" s="14">
        <v>24</v>
      </c>
      <c r="B27" s="15" t="s">
        <v>87</v>
      </c>
      <c r="C27" s="15" t="s">
        <v>100</v>
      </c>
      <c r="D27" s="16" t="s">
        <v>78</v>
      </c>
    </row>
    <row r="28" spans="1:4" x14ac:dyDescent="0.2">
      <c r="A28" s="14">
        <v>24</v>
      </c>
      <c r="B28" s="15" t="s">
        <v>45</v>
      </c>
      <c r="C28" s="15" t="s">
        <v>99</v>
      </c>
      <c r="D28" s="16" t="s">
        <v>26</v>
      </c>
    </row>
    <row r="29" spans="1:4" x14ac:dyDescent="0.2">
      <c r="A29" s="14">
        <v>26</v>
      </c>
      <c r="B29" s="15" t="s">
        <v>88</v>
      </c>
      <c r="C29" s="15" t="s">
        <v>100</v>
      </c>
      <c r="D29" s="16" t="s">
        <v>79</v>
      </c>
    </row>
    <row r="30" spans="1:4" x14ac:dyDescent="0.2">
      <c r="A30" s="14">
        <v>28</v>
      </c>
      <c r="B30" s="15" t="s">
        <v>46</v>
      </c>
      <c r="C30" s="15" t="s">
        <v>99</v>
      </c>
      <c r="D30" s="16" t="s">
        <v>29</v>
      </c>
    </row>
    <row r="31" spans="1:4" x14ac:dyDescent="0.2">
      <c r="A31" s="14">
        <v>28</v>
      </c>
      <c r="B31" s="15" t="s">
        <v>46</v>
      </c>
      <c r="C31" s="15" t="s">
        <v>100</v>
      </c>
      <c r="D31" s="16" t="s">
        <v>73</v>
      </c>
    </row>
    <row r="32" spans="1:4" x14ac:dyDescent="0.2">
      <c r="A32" s="14">
        <v>30</v>
      </c>
      <c r="B32" s="15" t="s">
        <v>89</v>
      </c>
      <c r="C32" s="15" t="s">
        <v>100</v>
      </c>
      <c r="D32" s="16" t="s">
        <v>80</v>
      </c>
    </row>
    <row r="33" spans="1:4" x14ac:dyDescent="0.2">
      <c r="A33" s="14">
        <v>32</v>
      </c>
      <c r="B33" s="15" t="s">
        <v>90</v>
      </c>
      <c r="C33" s="15" t="s">
        <v>100</v>
      </c>
      <c r="D33" s="16" t="s">
        <v>81</v>
      </c>
    </row>
    <row r="34" spans="1:4" x14ac:dyDescent="0.2">
      <c r="A34" s="14">
        <v>32</v>
      </c>
      <c r="B34" s="15" t="s">
        <v>47</v>
      </c>
      <c r="C34" s="15" t="s">
        <v>99</v>
      </c>
      <c r="D34" s="16" t="s">
        <v>31</v>
      </c>
    </row>
    <row r="35" spans="1:4" x14ac:dyDescent="0.2">
      <c r="A35" s="14">
        <v>36</v>
      </c>
      <c r="B35" s="15" t="s">
        <v>48</v>
      </c>
      <c r="C35" s="15" t="s">
        <v>99</v>
      </c>
      <c r="D35" s="16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LISEZ-MOI</vt:lpstr>
      <vt:lpstr>IA-OFFENSE</vt:lpstr>
      <vt:lpstr>IA-DEFENSE</vt:lpstr>
      <vt:lpstr>DEBLOCAGE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2026-08-23T13:08:55Z</dcterms:created>
  <dcterms:modified xsi:type="dcterms:W3CDTF">2026-08-23T13:08:55Z</dcterms:modified>
  <dc:language>en-US</dc:language>
</cp:coreProperties>
</file>